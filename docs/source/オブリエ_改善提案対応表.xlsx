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280" yWindow="-21000" windowWidth="38400" windowHeight="21000" tabRatio="500" firstSheet="0" activeTab="2" autoFilterDateGrouping="1"/>
  </bookViews>
  <sheets>
    <sheet xmlns:r="http://schemas.openxmlformats.org/officeDocument/2006/relationships" name="対応表" sheetId="1" state="visible" r:id="rId1"/>
    <sheet xmlns:r="http://schemas.openxmlformats.org/officeDocument/2006/relationships" name="サマリー" sheetId="2" state="visible" r:id="rId2"/>
    <sheet xmlns:r="http://schemas.openxmlformats.org/officeDocument/2006/relationships" name="上司・関係者ニーズ" sheetId="3" state="visible" r:id="rId3"/>
    <sheet xmlns:r="http://schemas.openxmlformats.org/officeDocument/2006/relationships" name="追加対応_v3" sheetId="4" state="visible" r:id="rId4"/>
    <sheet xmlns:r="http://schemas.openxmlformats.org/officeDocument/2006/relationships" name="追加対応_v4" sheetId="5" state="visible" r:id="rId5"/>
  </sheets>
  <definedNames>
    <definedName name="_xlnm._FilterDatabase" localSheetId="0" hidden="1">'対応表'!$A$1:$J$35</definedName>
    <definedName name="_xlnm._FilterDatabase" localSheetId="2" hidden="1">'上司・関係者ニーズ'!$A$1:$H$16</definedName>
    <definedName name="_xlnm._FilterDatabase" localSheetId="3" hidden="1">'追加対応_v3'!$A$1:$F$15</definedName>
    <definedName name="_xlnm._FilterDatabase" localSheetId="4" hidden="1">'追加対応_v4'!$A$1:$F$20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Yu Gothic"/>
      <charset val="128"/>
      <family val="3"/>
      <b val="1"/>
      <color rgb="FFFFFFFF"/>
      <sz val="10"/>
    </font>
    <font>
      <name val="Noto Sans CJK SC"/>
      <family val="2"/>
      <b val="1"/>
      <color rgb="FFFFFFFF"/>
      <sz val="10"/>
    </font>
    <font>
      <name val="Yu Gothic"/>
      <charset val="128"/>
      <family val="3"/>
      <sz val="10"/>
    </font>
    <font>
      <name val="Noto Sans CJK SC"/>
      <family val="2"/>
      <sz val="10"/>
    </font>
    <font>
      <name val="Noto Sans CJK SC"/>
      <family val="2"/>
      <b val="1"/>
      <sz val="10"/>
    </font>
    <font>
      <name val="Noto Sans CJK SC"/>
      <family val="2"/>
      <b val="1"/>
      <color rgb="FFC00000"/>
      <sz val="10"/>
    </font>
    <font>
      <name val="Noto Sans CJK SC"/>
      <family val="2"/>
      <color rgb="FF3D3229"/>
      <sz val="10"/>
    </font>
    <font>
      <name val="Noto Sans CJK SC"/>
      <family val="2"/>
      <color rgb="FF8A7D6E"/>
      <sz val="10"/>
    </font>
    <font>
      <name val="Yu Gothic"/>
      <charset val="128"/>
      <family val="3"/>
      <b val="1"/>
      <sz val="10"/>
    </font>
    <font>
      <name val="02UtsukushiMincho"/>
      <charset val="128"/>
      <family val="3"/>
      <sz val="6"/>
    </font>
    <font>
      <name val="Yu Gothic"/>
      <charset val="128"/>
      <family val="3"/>
      <b val="1"/>
      <color rgb="FFFFFFFF"/>
      <sz val="10"/>
    </font>
    <font>
      <name val="Yu Gothic"/>
      <charset val="128"/>
      <family val="3"/>
      <sz val="10"/>
    </font>
    <font>
      <name val="Yu Gothic"/>
      <charset val="128"/>
      <family val="3"/>
      <b val="1"/>
      <color rgb="FFC00000"/>
      <sz val="10"/>
    </font>
    <font>
      <name val="Yu Gothic"/>
      <charset val="128"/>
      <family val="3"/>
      <b val="1"/>
      <sz val="10"/>
    </font>
    <font>
      <name val="Yu Gothic"/>
      <charset val="128"/>
      <family val="3"/>
      <color rgb="FF3D3229"/>
      <sz val="10"/>
    </font>
    <font>
      <name val="Yu Gothic"/>
      <charset val="128"/>
      <family val="3"/>
      <color rgb="FF8A7D6E"/>
      <sz val="10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color rgb="003F7A52"/>
      <sz val="10"/>
    </font>
  </fonts>
  <fills count="20">
    <fill>
      <patternFill/>
    </fill>
    <fill>
      <patternFill patternType="gray125"/>
    </fill>
    <fill>
      <patternFill patternType="solid">
        <fgColor rgb="FF8A5A1C"/>
        <bgColor rgb="FF993300"/>
      </patternFill>
    </fill>
    <fill>
      <patternFill patternType="solid">
        <fgColor rgb="FFFDE9D9"/>
        <bgColor rgb="FFFCE4EC"/>
      </patternFill>
    </fill>
    <fill>
      <patternFill patternType="solid">
        <fgColor rgb="FFFFF2CC"/>
        <bgColor rgb="FFFDE9D9"/>
      </patternFill>
    </fill>
    <fill>
      <patternFill patternType="solid">
        <fgColor rgb="FFDEEAF6"/>
        <bgColor rgb="FFE0F2F1"/>
      </patternFill>
    </fill>
    <fill>
      <patternFill patternType="solid">
        <fgColor rgb="FFE2EFDA"/>
        <bgColor rgb="FFE0F2F1"/>
      </patternFill>
    </fill>
    <fill>
      <patternFill patternType="solid">
        <fgColor rgb="FFFCE4EC"/>
        <bgColor rgb="FFFDE9D9"/>
      </patternFill>
    </fill>
    <fill>
      <patternFill patternType="solid">
        <fgColor rgb="FFEDE7F6"/>
        <bgColor rgb="FFEFEBE9"/>
      </patternFill>
    </fill>
    <fill>
      <patternFill patternType="solid">
        <fgColor rgb="FFE0F2F1"/>
        <bgColor rgb="FFDEEAF6"/>
      </patternFill>
    </fill>
    <fill>
      <patternFill patternType="solid">
        <fgColor rgb="FFEFEBE9"/>
        <bgColor rgb="FFEDE7F6"/>
      </patternFill>
    </fill>
    <fill>
      <patternFill patternType="solid">
        <fgColor rgb="FFF3E3CB"/>
        <bgColor rgb="FFFDE9D9"/>
      </patternFill>
    </fill>
    <fill>
      <patternFill patternType="solid">
        <fgColor rgb="FF8A5A1C"/>
      </patternFill>
    </fill>
    <fill>
      <patternFill patternType="solid">
        <fgColor rgb="FFDEEAF6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008A5A1C"/>
      </patternFill>
    </fill>
    <fill>
      <patternFill patternType="solid">
        <fgColor rgb="00E2EFDA"/>
      </patternFill>
    </fill>
    <fill>
      <patternFill patternType="solid">
        <fgColor rgb="00FDF1DC"/>
      </patternFill>
    </fill>
    <fill>
      <patternFill patternType="solid">
        <fgColor rgb="00E7ECF6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5" fillId="11" borderId="0" pivotButton="0" quotePrefix="0" xfId="0"/>
    <xf numFmtId="0" fontId="4" fillId="0" borderId="0" pivotButton="0" quotePrefix="0" xfId="0"/>
    <xf numFmtId="0" fontId="11" fillId="12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top" wrapText="1"/>
    </xf>
    <xf numFmtId="0" fontId="12" fillId="13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center" vertical="top" wrapText="1"/>
    </xf>
    <xf numFmtId="0" fontId="15" fillId="0" borderId="2" applyAlignment="1" pivotButton="0" quotePrefix="0" xfId="0">
      <alignment horizontal="center" vertical="top" wrapText="1"/>
    </xf>
    <xf numFmtId="0" fontId="16" fillId="0" borderId="2" applyAlignment="1" pivotButton="0" quotePrefix="0" xfId="0">
      <alignment horizontal="center" vertical="top" wrapText="1"/>
    </xf>
    <xf numFmtId="0" fontId="12" fillId="14" borderId="2" applyAlignment="1" pivotButton="0" quotePrefix="0" xfId="0">
      <alignment horizontal="left" vertical="top" wrapText="1"/>
    </xf>
    <xf numFmtId="0" fontId="12" fillId="15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17" fillId="16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top" wrapText="1"/>
    </xf>
    <xf numFmtId="0" fontId="18" fillId="17" borderId="3" applyAlignment="1" pivotButton="0" quotePrefix="0" xfId="0">
      <alignment horizontal="center" vertical="top" wrapText="1"/>
    </xf>
    <xf numFmtId="0" fontId="18" fillId="0" borderId="3" applyAlignment="1" pivotButton="0" quotePrefix="0" xfId="0">
      <alignment horizontal="left" vertical="top" wrapText="1"/>
    </xf>
    <xf numFmtId="0" fontId="19" fillId="0" borderId="3" applyAlignment="1" pivotButton="0" quotePrefix="0" xfId="0">
      <alignment horizontal="center" vertical="top" wrapText="1"/>
    </xf>
    <xf numFmtId="0" fontId="18" fillId="18" borderId="3" applyAlignment="1" pivotButton="0" quotePrefix="0" xfId="0">
      <alignment horizontal="center" vertical="top" wrapText="1"/>
    </xf>
    <xf numFmtId="0" fontId="18" fillId="19" borderId="3" applyAlignment="1" pivotButton="0" quotePrefix="0" xfId="0">
      <alignment horizontal="center"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C"/>
      <rgbColor rgb="FF800080"/>
      <rgbColor rgb="FF008080"/>
      <rgbColor rgb="FFEDE7F6"/>
      <rgbColor rgb="FF8A7D6E"/>
      <rgbColor rgb="FF9999FF"/>
      <rgbColor rgb="FF993366"/>
      <rgbColor rgb="FFFFF2CC"/>
      <rgbColor rgb="FFE0F2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E2EFDA"/>
      <rgbColor rgb="FFFDE9D9"/>
      <rgbColor rgb="FFEFEBE9"/>
      <rgbColor rgb="FFFCE4EC"/>
      <rgbColor rgb="FFCC99FF"/>
      <rgbColor rgb="FFF3E3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2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opLeftCell="D1" zoomScale="184" zoomScaleNormal="184" workbookViewId="0">
      <pane ySplit="1" topLeftCell="A2" activePane="bottomLeft" state="frozen"/>
      <selection pane="bottomLeft" activeCell="D29" sqref="D29"/>
    </sheetView>
  </sheetViews>
  <sheetFormatPr baseColWidth="10" defaultColWidth="8.6640625" defaultRowHeight="15"/>
  <cols>
    <col width="5" customWidth="1" min="1" max="1"/>
    <col width="17" customWidth="1" min="2" max="2"/>
    <col width="24" customWidth="1" min="3" max="3"/>
    <col width="48" customWidth="1" min="4" max="4"/>
    <col width="13" customWidth="1" min="5" max="5"/>
    <col width="36" customWidth="1" min="6" max="6"/>
    <col width="10" customWidth="1" min="7" max="7"/>
    <col width="13" customWidth="1" min="8" max="8"/>
    <col width="12" customWidth="1" min="9" max="9"/>
    <col width="22" customWidth="1" min="10" max="10"/>
  </cols>
  <sheetData>
    <row r="1" ht="24" customHeight="1">
      <c r="A1" s="1" t="inlineStr">
        <is>
          <t>No</t>
        </is>
      </c>
      <c r="B1" s="2" t="inlineStr">
        <is>
          <t>視点</t>
        </is>
      </c>
      <c r="C1" s="2" t="inlineStr">
        <is>
          <t>提案</t>
        </is>
      </c>
      <c r="D1" s="2" t="inlineStr">
        <is>
          <t>内容</t>
        </is>
      </c>
      <c r="E1" s="2" t="inlineStr">
        <is>
          <t>関連する狙い</t>
        </is>
      </c>
      <c r="F1" s="2" t="inlineStr">
        <is>
          <t>期待効果</t>
        </is>
      </c>
      <c r="G1" s="2" t="inlineStr">
        <is>
          <t>優先度(案)</t>
        </is>
      </c>
      <c r="H1" s="2" t="inlineStr">
        <is>
          <t>実装負荷(目安)</t>
        </is>
      </c>
      <c r="I1" s="2" t="inlineStr">
        <is>
          <t>対応判断</t>
        </is>
      </c>
      <c r="J1" s="2" t="inlineStr">
        <is>
          <t>メモ</t>
        </is>
      </c>
    </row>
    <row r="2" ht="48" customHeight="1">
      <c r="A2" s="3" t="n">
        <v>1</v>
      </c>
      <c r="B2" s="4" t="inlineStr">
        <is>
          <t>取り込み・検出精度</t>
        </is>
      </c>
      <c r="C2" s="5" t="inlineStr">
        <is>
          <t>暗黙の感謝の検出</t>
        </is>
      </c>
      <c r="D2" s="6" t="inlineStr">
        <is>
          <t>「ありがとう」を含まない感謝表現（「助かった」「さすが」「おかげで」等）もLLMで検出して取り込む</t>
        </is>
      </c>
      <c r="E2" s="7" t="inlineStr">
        <is>
          <t>②／基盤</t>
        </is>
      </c>
      <c r="F2" s="6" t="inlineStr">
        <is>
          <t>取りこぼしが減り、缶の中身が実態に近づく</t>
        </is>
      </c>
      <c r="G2" s="8" t="inlineStr">
        <is>
          <t>高</t>
        </is>
      </c>
      <c r="H2" s="7" t="inlineStr">
        <is>
          <t>中</t>
        </is>
      </c>
      <c r="I2" s="3" t="inlineStr">
        <is>
          <t>対応する</t>
        </is>
      </c>
      <c r="J2" s="6" t="n"/>
    </row>
    <row r="3" ht="33.75" customHeight="1">
      <c r="A3" s="3" t="n">
        <v>2</v>
      </c>
      <c r="B3" s="4" t="inlineStr">
        <is>
          <t>取り込み・検出精度</t>
        </is>
      </c>
      <c r="C3" s="5" t="inlineStr">
        <is>
          <t>誤検出の除外と学習</t>
        </is>
      </c>
      <c r="D3" s="6" t="inlineStr">
        <is>
          <t>カードを「これは感謝ではない」とワンタップで外せる。外した結果を検出器が学習する</t>
        </is>
      </c>
      <c r="E3" s="7" t="inlineStr">
        <is>
          <t>基盤</t>
        </is>
      </c>
      <c r="F3" s="6" t="inlineStr">
        <is>
          <t>社交辞令ばかり届く不信感を防ぐ。検出品質の要</t>
        </is>
      </c>
      <c r="G3" s="8" t="inlineStr">
        <is>
          <t>高</t>
        </is>
      </c>
      <c r="H3" s="7" t="inlineStr">
        <is>
          <t>中</t>
        </is>
      </c>
      <c r="I3" s="3" t="inlineStr">
        <is>
          <t>対応する</t>
        </is>
      </c>
      <c r="J3" s="6" t="n"/>
    </row>
    <row r="4" ht="33.75" customHeight="1">
      <c r="A4" s="3" t="n">
        <v>3</v>
      </c>
      <c r="B4" s="4" t="inlineStr">
        <is>
          <t>取り込み・検出精度</t>
        </is>
      </c>
      <c r="C4" s="5" t="inlineStr">
        <is>
          <t>対面・電話の感謝を手動記録</t>
        </is>
      </c>
      <c r="D4" s="6" t="inlineStr">
        <is>
          <t>チャット外でもらった感謝をその場で30秒で追加できる（音声入力対応）</t>
        </is>
      </c>
      <c r="E4" s="3" t="inlineStr">
        <is>
          <t>①②</t>
        </is>
      </c>
      <c r="F4" s="9" t="inlineStr">
        <is>
          <t>AIの届かない無形の貢献も缶に入る</t>
        </is>
      </c>
      <c r="G4" s="10" t="inlineStr">
        <is>
          <t>中</t>
        </is>
      </c>
      <c r="H4" s="7" t="inlineStr">
        <is>
          <t>低</t>
        </is>
      </c>
      <c r="I4" s="3" t="inlineStr">
        <is>
          <t>対応しない</t>
        </is>
      </c>
      <c r="J4" s="9" t="n"/>
    </row>
    <row r="5" ht="33.75" customHeight="1">
      <c r="A5" s="3" t="n">
        <v>4</v>
      </c>
      <c r="B5" s="4" t="inlineStr">
        <is>
          <t>取り込み・検出精度</t>
        </is>
      </c>
      <c r="C5" s="5" t="inlineStr">
        <is>
          <t>過去ログの遡り取り込み</t>
        </is>
      </c>
      <c r="D5" s="6" t="inlineStr">
        <is>
          <t>初回連携時に過去1年分のチャットを解析し、開いた瞬間から数百通が入っている状態にする</t>
        </is>
      </c>
      <c r="E5" s="3" t="inlineStr">
        <is>
          <t>①</t>
        </is>
      </c>
      <c r="F5" s="6" t="inlineStr">
        <is>
          <t>「開けてみたら宝物はもう集まっていた」の初回体験をそのまま実装できる</t>
        </is>
      </c>
      <c r="G5" s="8" t="inlineStr">
        <is>
          <t>高</t>
        </is>
      </c>
      <c r="H5" s="7" t="inlineStr">
        <is>
          <t>中</t>
        </is>
      </c>
      <c r="I5" s="3" t="inlineStr">
        <is>
          <t>対応する</t>
        </is>
      </c>
      <c r="J5" s="9" t="n"/>
    </row>
    <row r="6" ht="33.75" customHeight="1">
      <c r="A6" s="3" t="n">
        <v>5</v>
      </c>
      <c r="B6" s="4" t="inlineStr">
        <is>
          <t>取り込み・検出精度</t>
        </is>
      </c>
      <c r="C6" s="5" t="inlineStr">
        <is>
          <t>絵文字リアクションの取り込み</t>
        </is>
      </c>
      <c r="D6" s="6" t="inlineStr">
        <is>
          <t>感謝系の絵文字リアクションを「小さなありがとう」として控えめにカウントする</t>
        </is>
      </c>
      <c r="E6" s="3" t="inlineStr">
        <is>
          <t>③</t>
        </is>
      </c>
      <c r="F6" s="6" t="inlineStr">
        <is>
          <t>言葉にならない感謝も拾える</t>
        </is>
      </c>
      <c r="G6" s="10" t="inlineStr">
        <is>
          <t>中</t>
        </is>
      </c>
      <c r="H6" s="7" t="inlineStr">
        <is>
          <t>低</t>
        </is>
      </c>
      <c r="I6" s="3" t="inlineStr">
        <is>
          <t>対応する</t>
        </is>
      </c>
      <c r="J6" s="9" t="n"/>
    </row>
    <row r="7" ht="33.75" customHeight="1">
      <c r="A7" s="3" t="n">
        <v>6</v>
      </c>
      <c r="B7" s="4" t="inlineStr">
        <is>
          <t>取り込み・検出精度</t>
        </is>
      </c>
      <c r="C7" s="5" t="inlineStr">
        <is>
          <t>連携先の拡張</t>
        </is>
      </c>
      <c r="D7" s="9" t="inlineStr">
        <is>
          <t>Slack/Teamsに加えChatwork・メール・LINE WORKS等へ対応する</t>
        </is>
      </c>
      <c r="E7" s="7" t="inlineStr">
        <is>
          <t>ビジネス</t>
        </is>
      </c>
      <c r="F7" s="6" t="inlineStr">
        <is>
          <t>対象ユーザーの拡大</t>
        </is>
      </c>
      <c r="G7" s="11" t="inlineStr">
        <is>
          <t>低</t>
        </is>
      </c>
      <c r="H7" s="7" t="inlineStr">
        <is>
          <t>高</t>
        </is>
      </c>
      <c r="I7" s="3" t="inlineStr">
        <is>
          <t>対応しない</t>
        </is>
      </c>
      <c r="J7" s="9" t="n"/>
    </row>
    <row r="8" ht="33.75" customHeight="1">
      <c r="A8" s="3" t="n">
        <v>7</v>
      </c>
      <c r="B8" s="4" t="inlineStr">
        <is>
          <t>取り込み・検出精度</t>
        </is>
      </c>
      <c r="C8" s="5" t="inlineStr">
        <is>
          <t>皮肉・定型文のフィルタ</t>
        </is>
      </c>
      <c r="D8" s="6" t="inlineStr">
        <is>
          <t>皮肉表現や自動送信の定型文を感謝から除外する</t>
        </is>
      </c>
      <c r="E8" s="7" t="inlineStr">
        <is>
          <t>基盤</t>
        </is>
      </c>
      <c r="F8" s="6" t="inlineStr">
        <is>
          <t>宝物の純度を守る</t>
        </is>
      </c>
      <c r="G8" s="10" t="inlineStr">
        <is>
          <t>中</t>
        </is>
      </c>
      <c r="H8" s="7" t="inlineStr">
        <is>
          <t>中</t>
        </is>
      </c>
      <c r="I8" s="3" t="inlineStr">
        <is>
          <t>対応する</t>
        </is>
      </c>
      <c r="J8" s="9" t="n"/>
    </row>
    <row r="9" ht="33.75" customHeight="1">
      <c r="A9" s="3" t="n">
        <v>8</v>
      </c>
      <c r="B9" s="12" t="inlineStr">
        <is>
          <t>自己肯定感の体験</t>
        </is>
      </c>
      <c r="C9" s="5" t="inlineStr">
        <is>
          <t>月に一度の「開封の儀」</t>
        </is>
      </c>
      <c r="D9" s="6" t="inlineStr">
        <is>
          <t>月末に届いた感謝をまとめて開封する演出付きの振り返り体験。缶の蓋が開くアニメーション</t>
        </is>
      </c>
      <c r="E9" s="3" t="inlineStr">
        <is>
          <t>①</t>
        </is>
      </c>
      <c r="F9" s="6" t="inlineStr">
        <is>
          <t>儀式性が体験の核になり、サービスの記憶に残る</t>
        </is>
      </c>
      <c r="G9" s="8" t="inlineStr">
        <is>
          <t>高</t>
        </is>
      </c>
      <c r="H9" s="7" t="inlineStr">
        <is>
          <t>中</t>
        </is>
      </c>
      <c r="I9" s="3" t="inlineStr">
        <is>
          <t>対応する</t>
        </is>
      </c>
      <c r="J9" s="9" t="n"/>
    </row>
    <row r="10" ht="33.75" customHeight="1">
      <c r="A10" s="3" t="n">
        <v>9</v>
      </c>
      <c r="B10" s="12" t="inlineStr">
        <is>
          <t>自己肯定感の体験</t>
        </is>
      </c>
      <c r="C10" s="5" t="inlineStr">
        <is>
          <t>「今日は開ける日」ボタン</t>
        </is>
      </c>
      <c r="D10" s="6" t="inlineStr">
        <is>
          <t>落ち込んだ日に押すと、過去の言葉から特に響いたものを数枚選んで見せてくれる</t>
        </is>
      </c>
      <c r="E10" s="3" t="inlineStr">
        <is>
          <t>①</t>
        </is>
      </c>
      <c r="F10" s="6" t="inlineStr">
        <is>
          <t>情緒価値の中核。使い続ける理由が一番強い機能</t>
        </is>
      </c>
      <c r="G10" s="8" t="inlineStr">
        <is>
          <t>高</t>
        </is>
      </c>
      <c r="H10" s="7" t="inlineStr">
        <is>
          <t>中</t>
        </is>
      </c>
      <c r="I10" s="3" t="inlineStr">
        <is>
          <t>対応しない</t>
        </is>
      </c>
      <c r="J10" s="9" t="inlineStr">
        <is>
          <t>落ち込んでいるかどうかはわからない</t>
        </is>
      </c>
    </row>
    <row r="11" ht="33.75" customHeight="1">
      <c r="A11" s="3" t="n">
        <v>10</v>
      </c>
      <c r="B11" s="12" t="inlineStr">
        <is>
          <t>自己肯定感の体験</t>
        </is>
      </c>
      <c r="C11" s="5" t="inlineStr">
        <is>
          <t>節目の演出</t>
        </is>
      </c>
      <c r="D11" s="9" t="inlineStr">
        <is>
          <t>100通目・初めての送り主・利用1周年などの節目をささやかに祝う</t>
        </is>
      </c>
      <c r="E11" s="3" t="inlineStr">
        <is>
          <t>①</t>
        </is>
      </c>
      <c r="F11" s="6" t="inlineStr">
        <is>
          <t>継続の小さな楽しみになる</t>
        </is>
      </c>
      <c r="G11" s="11" t="inlineStr">
        <is>
          <t>低</t>
        </is>
      </c>
      <c r="H11" s="7" t="inlineStr">
        <is>
          <t>低</t>
        </is>
      </c>
      <c r="I11" s="3" t="inlineStr">
        <is>
          <t>対応する</t>
        </is>
      </c>
      <c r="J11" s="9" t="n"/>
    </row>
    <row r="12" ht="33.75" customHeight="1">
      <c r="A12" s="3" t="n">
        <v>11</v>
      </c>
      <c r="B12" s="12" t="inlineStr">
        <is>
          <t>自己肯定感の体験</t>
        </is>
      </c>
      <c r="C12" s="5" t="inlineStr">
        <is>
          <t>年間アルバム</t>
        </is>
      </c>
      <c r="D12" s="9" t="inlineStr">
        <is>
          <t>1年分の感謝を1冊のアルバムに綴じる（PDF・印刷対応）。「オブリエ＝綴じる」の体現</t>
        </is>
      </c>
      <c r="E12" s="3" t="inlineStr">
        <is>
          <t>①</t>
        </is>
      </c>
      <c r="F12" s="6" t="inlineStr">
        <is>
          <t>手元に残る形が愛着と口コミを生む</t>
        </is>
      </c>
      <c r="G12" s="10" t="inlineStr">
        <is>
          <t>中</t>
        </is>
      </c>
      <c r="H12" s="7" t="inlineStr">
        <is>
          <t>中</t>
        </is>
      </c>
      <c r="I12" s="3" t="inlineStr">
        <is>
          <t>対応する</t>
        </is>
      </c>
      <c r="J12" s="9" t="inlineStr">
        <is>
          <t>そもそもアルバムみたいな画面デザインにしような</t>
        </is>
      </c>
    </row>
    <row r="13" ht="33.75" customHeight="1">
      <c r="A13" s="3" t="n">
        <v>12</v>
      </c>
      <c r="B13" s="12" t="inlineStr">
        <is>
          <t>自己肯定感の体験</t>
        </is>
      </c>
      <c r="C13" s="5" t="inlineStr">
        <is>
          <t>お気に入りピン留め</t>
        </is>
      </c>
      <c r="D13" s="6" t="inlineStr">
        <is>
          <t>特に効いた言葉を自分で選んで最上段に固定できる</t>
        </is>
      </c>
      <c r="E13" s="3" t="inlineStr">
        <is>
          <t>①</t>
        </is>
      </c>
      <c r="F13" s="6" t="inlineStr">
        <is>
          <t>自分だけの特効薬を常備できる</t>
        </is>
      </c>
      <c r="G13" s="10" t="inlineStr">
        <is>
          <t>中</t>
        </is>
      </c>
      <c r="H13" s="7" t="inlineStr">
        <is>
          <t>低</t>
        </is>
      </c>
      <c r="I13" s="3" t="inlineStr">
        <is>
          <t>対応しない</t>
        </is>
      </c>
      <c r="J13" s="9" t="n"/>
    </row>
    <row r="14" ht="33.75" customHeight="1">
      <c r="A14" s="3" t="n">
        <v>13</v>
      </c>
      <c r="B14" s="13" t="inlineStr">
        <is>
          <t>得意の発見</t>
        </is>
      </c>
      <c r="C14" s="5" t="inlineStr">
        <is>
          <t>月次「カタチレポート」</t>
        </is>
      </c>
      <c r="D14" s="6" t="inlineStr">
        <is>
          <t>レーダーの変化と代表エピソードをAIが文章で言語化した月次レポートを届ける</t>
        </is>
      </c>
      <c r="E14" s="3" t="inlineStr">
        <is>
          <t>②</t>
        </is>
      </c>
      <c r="F14" s="6" t="inlineStr">
        <is>
          <t>「自分の得意はこれ」と言えるようになる中核価値</t>
        </is>
      </c>
      <c r="G14" s="8" t="inlineStr">
        <is>
          <t>高</t>
        </is>
      </c>
      <c r="H14" s="7" t="inlineStr">
        <is>
          <t>中</t>
        </is>
      </c>
      <c r="I14" s="3" t="inlineStr">
        <is>
          <t>対応する</t>
        </is>
      </c>
      <c r="J14" s="9" t="n"/>
    </row>
    <row r="15" ht="33.75" customHeight="1">
      <c r="A15" s="3" t="n">
        <v>14</v>
      </c>
      <c r="B15" s="13" t="inlineStr">
        <is>
          <t>得意の発見</t>
        </is>
      </c>
      <c r="C15" s="5" t="inlineStr">
        <is>
          <t>エピソードのSTAR形式整理</t>
        </is>
      </c>
      <c r="D15" s="6" t="inlineStr">
        <is>
          <t>経緯（状況→自分の行動→もらった感謝）を職務経歴書・面談用の実績形式でエクスポートできる</t>
        </is>
      </c>
      <c r="E15" s="3" t="inlineStr">
        <is>
          <t>②</t>
        </is>
      </c>
      <c r="F15" s="6" t="inlineStr">
        <is>
          <t>転職・1on1・評価面談でそのまま使える外向きの価値</t>
        </is>
      </c>
      <c r="G15" s="8" t="inlineStr">
        <is>
          <t>高</t>
        </is>
      </c>
      <c r="H15" s="7" t="inlineStr">
        <is>
          <t>中</t>
        </is>
      </c>
      <c r="I15" s="3" t="inlineStr">
        <is>
          <t>対応する</t>
        </is>
      </c>
      <c r="J15" s="9" t="n"/>
    </row>
    <row r="16" ht="33.75" customHeight="1">
      <c r="A16" s="3" t="n">
        <v>15</v>
      </c>
      <c r="B16" s="13" t="inlineStr">
        <is>
          <t>得意の発見</t>
        </is>
      </c>
      <c r="C16" s="5" t="inlineStr">
        <is>
          <t>カタチの経年比較</t>
        </is>
      </c>
      <c r="D16" s="6" t="inlineStr">
        <is>
          <t>半年前・1年前の自分のカタチと重ねて表示する（他人とは比べない）</t>
        </is>
      </c>
      <c r="E16" s="3" t="inlineStr">
        <is>
          <t>②</t>
        </is>
      </c>
      <c r="F16" s="6" t="inlineStr">
        <is>
          <t>成長が形で見える</t>
        </is>
      </c>
      <c r="G16" s="10" t="inlineStr">
        <is>
          <t>中</t>
        </is>
      </c>
      <c r="H16" s="7" t="inlineStr">
        <is>
          <t>低</t>
        </is>
      </c>
      <c r="I16" s="3" t="inlineStr">
        <is>
          <t>対応する</t>
        </is>
      </c>
      <c r="J16" s="9" t="n"/>
    </row>
    <row r="17" ht="33.75" customHeight="1">
      <c r="A17" s="3" t="n">
        <v>16</v>
      </c>
      <c r="B17" s="13" t="inlineStr">
        <is>
          <t>得意の発見</t>
        </is>
      </c>
      <c r="C17" s="5" t="inlineStr">
        <is>
          <t>「意外な得意」の指摘</t>
        </is>
      </c>
      <c r="D17" s="6" t="inlineStr">
        <is>
          <t>本人の自己認識アンケートと感謝の実態のギャップをAIが指摘する</t>
        </is>
      </c>
      <c r="E17" s="3" t="inlineStr">
        <is>
          <t>②</t>
        </is>
      </c>
      <c r="F17" s="6" t="inlineStr">
        <is>
          <t>思い込みの外にある強みに気づける</t>
        </is>
      </c>
      <c r="G17" s="10" t="inlineStr">
        <is>
          <t>中</t>
        </is>
      </c>
      <c r="H17" s="7" t="inlineStr">
        <is>
          <t>中</t>
        </is>
      </c>
      <c r="I17" s="3" t="inlineStr">
        <is>
          <t>対応しない</t>
        </is>
      </c>
      <c r="J17" s="9" t="n"/>
    </row>
    <row r="18" ht="33.75" customHeight="1">
      <c r="A18" s="3" t="n">
        <v>17</v>
      </c>
      <c r="B18" s="13" t="inlineStr">
        <is>
          <t>得意の発見</t>
        </is>
      </c>
      <c r="C18" s="5" t="inlineStr">
        <is>
          <t>感謝の広がりマップ</t>
        </is>
      </c>
      <c r="D18" s="6" t="inlineStr">
        <is>
          <t>誰から・どの部署から感謝が届いているかを可視化し、自分の影響範囲を見せる</t>
        </is>
      </c>
      <c r="E18" s="3" t="inlineStr">
        <is>
          <t>②</t>
        </is>
      </c>
      <c r="F18" s="6" t="inlineStr">
        <is>
          <t>自分の役割が組織の中の位置として見える</t>
        </is>
      </c>
      <c r="G18" s="10" t="inlineStr">
        <is>
          <t>中</t>
        </is>
      </c>
      <c r="H18" s="7" t="inlineStr">
        <is>
          <t>中</t>
        </is>
      </c>
      <c r="I18" s="3" t="inlineStr">
        <is>
          <t>対応する</t>
        </is>
      </c>
      <c r="J18" s="9" t="n"/>
    </row>
    <row r="19" ht="33.75" customHeight="1">
      <c r="A19" s="3" t="n">
        <v>18</v>
      </c>
      <c r="B19" s="14" t="inlineStr">
        <is>
          <t>感謝の連鎖</t>
        </is>
      </c>
      <c r="C19" s="5" t="inlineStr">
        <is>
          <t>カードから「返す」導線</t>
        </is>
      </c>
      <c r="D19" s="6" t="inlineStr">
        <is>
          <t>届いたカードからワンタップで相手にお礼・返礼の感謝を送れる</t>
        </is>
      </c>
      <c r="E19" s="3" t="inlineStr">
        <is>
          <t>③</t>
        </is>
      </c>
      <c r="F19" s="6" t="inlineStr">
        <is>
          <t>受け取る→送るの循環を最短動線にする</t>
        </is>
      </c>
      <c r="G19" s="8" t="inlineStr">
        <is>
          <t>高</t>
        </is>
      </c>
      <c r="H19" s="7" t="inlineStr">
        <is>
          <t>低</t>
        </is>
      </c>
      <c r="I19" s="3" t="inlineStr">
        <is>
          <t>対応しない</t>
        </is>
      </c>
      <c r="J19" s="9" t="n"/>
    </row>
    <row r="20" ht="33.75" customHeight="1">
      <c r="A20" s="3" t="n">
        <v>19</v>
      </c>
      <c r="B20" s="14" t="inlineStr">
        <is>
          <t>感謝の連鎖</t>
        </is>
      </c>
      <c r="C20" s="5" t="inlineStr">
        <is>
          <t>「送った感謝」の箱</t>
        </is>
      </c>
      <c r="D20" s="6" t="inlineStr">
        <is>
          <t>自分が送った感謝も別タブで見返せる</t>
        </is>
      </c>
      <c r="E20" s="3" t="inlineStr">
        <is>
          <t>③</t>
        </is>
      </c>
      <c r="F20" s="6" t="inlineStr">
        <is>
          <t>送る側の喜びも資産になり、送る動機が生まれる</t>
        </is>
      </c>
      <c r="G20" s="10" t="inlineStr">
        <is>
          <t>中</t>
        </is>
      </c>
      <c r="H20" s="7" t="inlineStr">
        <is>
          <t>低</t>
        </is>
      </c>
      <c r="I20" s="3" t="inlineStr">
        <is>
          <t>対応する</t>
        </is>
      </c>
      <c r="J20" s="9" t="n"/>
    </row>
    <row r="21" ht="33.75" customHeight="1">
      <c r="A21" s="3" t="n">
        <v>20</v>
      </c>
      <c r="B21" s="14" t="inlineStr">
        <is>
          <t>感謝の連鎖</t>
        </is>
      </c>
      <c r="C21" s="5" t="inlineStr">
        <is>
          <t>感謝の気づきサジェスト</t>
        </is>
      </c>
      <c r="D21" s="6" t="inlineStr">
        <is>
          <t>「最近○○さんに助けられていませんか？」と控えめに気づきを促す（強制・催促はしない）</t>
        </is>
      </c>
      <c r="E21" s="3" t="inlineStr">
        <is>
          <t>③</t>
        </is>
      </c>
      <c r="F21" s="6" t="inlineStr">
        <is>
          <t>連鎖の起点を増やす。お節介にならない設計が条件</t>
        </is>
      </c>
      <c r="G21" s="11" t="inlineStr">
        <is>
          <t>低</t>
        </is>
      </c>
      <c r="H21" s="7" t="inlineStr">
        <is>
          <t>中</t>
        </is>
      </c>
      <c r="I21" s="3" t="inlineStr">
        <is>
          <t>対応しない</t>
        </is>
      </c>
      <c r="J21" s="9" t="n"/>
    </row>
    <row r="22" ht="33.75" customHeight="1">
      <c r="A22" s="3" t="n">
        <v>21</v>
      </c>
      <c r="B22" s="14" t="inlineStr">
        <is>
          <t>感謝の連鎖</t>
        </is>
      </c>
      <c r="C22" s="5" t="inlineStr">
        <is>
          <t>チーム全体量のゆるやかな表示</t>
        </is>
      </c>
      <c r="D22" s="6" t="inlineStr">
        <is>
          <t>個人比較はせず「チーム全体で今月○通」だけを共有する</t>
        </is>
      </c>
      <c r="E22" s="3" t="inlineStr">
        <is>
          <t>③</t>
        </is>
      </c>
      <c r="F22" s="6" t="inlineStr">
        <is>
          <t>チームの空気の変化を実感できる。非比較原則は死守</t>
        </is>
      </c>
      <c r="G22" s="11" t="inlineStr">
        <is>
          <t>低</t>
        </is>
      </c>
      <c r="H22" s="7" t="inlineStr">
        <is>
          <t>低</t>
        </is>
      </c>
      <c r="I22" s="3" t="inlineStr">
        <is>
          <t>対応しない</t>
        </is>
      </c>
      <c r="J22" s="9" t="n"/>
    </row>
    <row r="23" ht="33.75" customHeight="1">
      <c r="A23" s="3" t="n">
        <v>22</v>
      </c>
      <c r="B23" s="15" t="inlineStr">
        <is>
          <t>プライバシー・心理的安全</t>
        </is>
      </c>
      <c r="C23" s="5" t="inlineStr">
        <is>
          <t>「会社からは見えない」の明文化</t>
        </is>
      </c>
      <c r="D23" s="6" t="inlineStr">
        <is>
          <t>個人所有・上司や人事は閲覧不可であることを規約とUI上で常に明示する</t>
        </is>
      </c>
      <c r="E23" s="7" t="inlineStr">
        <is>
          <t>基盤</t>
        </is>
      </c>
      <c r="F23" s="6" t="inlineStr">
        <is>
          <t>監視ツール化への不安はサービスの生死に関わる</t>
        </is>
      </c>
      <c r="G23" s="8" t="inlineStr">
        <is>
          <t>高</t>
        </is>
      </c>
      <c r="H23" s="7" t="inlineStr">
        <is>
          <t>低</t>
        </is>
      </c>
      <c r="I23" s="3" t="inlineStr">
        <is>
          <t>対応しない</t>
        </is>
      </c>
      <c r="J23" s="9" t="n"/>
    </row>
    <row r="24" ht="33.75" customHeight="1">
      <c r="A24" s="3" t="n">
        <v>23</v>
      </c>
      <c r="B24" s="15" t="inlineStr">
        <is>
          <t>プライバシー・心理的安全</t>
        </is>
      </c>
      <c r="C24" s="5" t="inlineStr">
        <is>
          <t>共有範囲を本人が選ぶ</t>
        </is>
      </c>
      <c r="D24" s="6" t="inlineStr">
        <is>
          <t>カード単位・レポート単位で「これだけ1on1で見せる」を本人が選択できる</t>
        </is>
      </c>
      <c r="E24" s="7" t="inlineStr">
        <is>
          <t>②／基盤</t>
        </is>
      </c>
      <c r="F24" s="6" t="inlineStr">
        <is>
          <t>個人所有と外向き活用の両立</t>
        </is>
      </c>
      <c r="G24" s="8" t="inlineStr">
        <is>
          <t>高</t>
        </is>
      </c>
      <c r="H24" s="7" t="inlineStr">
        <is>
          <t>中</t>
        </is>
      </c>
      <c r="I24" s="3" t="inlineStr">
        <is>
          <t>CSVエクスポートに対応</t>
        </is>
      </c>
      <c r="J24" s="9" t="inlineStr">
        <is>
          <t>csvエクスポートはあってもいい</t>
        </is>
      </c>
    </row>
    <row r="25" ht="33.75" customHeight="1">
      <c r="A25" s="3" t="n">
        <v>24</v>
      </c>
      <c r="B25" s="15" t="inlineStr">
        <is>
          <t>プライバシー・心理的安全</t>
        </is>
      </c>
      <c r="C25" s="5" t="inlineStr">
        <is>
          <t>退職後も持ち運べる</t>
        </is>
      </c>
      <c r="D25" s="6" t="inlineStr">
        <is>
          <t>転職してもデータを個人アカウントで持ち出せる（ポータビリティ）</t>
        </is>
      </c>
      <c r="E25" s="7" t="inlineStr">
        <is>
          <t>基盤</t>
        </is>
      </c>
      <c r="F25" s="6" t="inlineStr">
        <is>
          <t>「感謝は個人の資産」という差別化軸の実装</t>
        </is>
      </c>
      <c r="G25" s="10" t="inlineStr">
        <is>
          <t>中</t>
        </is>
      </c>
      <c r="H25" s="7" t="inlineStr">
        <is>
          <t>中</t>
        </is>
      </c>
      <c r="I25" s="3" t="inlineStr">
        <is>
          <t>対応しない</t>
        </is>
      </c>
      <c r="J25" s="9" t="inlineStr">
        <is>
          <t>とりあえずは会社が導入する想定</t>
        </is>
      </c>
    </row>
    <row r="26" ht="33.75" customHeight="1">
      <c r="A26" s="3" t="n">
        <v>25</v>
      </c>
      <c r="B26" s="15" t="inlineStr">
        <is>
          <t>プライバシー・心理的安全</t>
        </is>
      </c>
      <c r="C26" s="5" t="inlineStr">
        <is>
          <t>送り主側への配慮設計</t>
        </is>
      </c>
      <c r="D26" s="6" t="inlineStr">
        <is>
          <t>他人の発言が本人の缶に保存されることへの同意・表示名の扱い等を整理する</t>
        </is>
      </c>
      <c r="E26" s="7" t="inlineStr">
        <is>
          <t>基盤</t>
        </is>
      </c>
      <c r="F26" s="6" t="inlineStr">
        <is>
          <t>法務・倫理上の要検討事項。要件定義で必ず決める</t>
        </is>
      </c>
      <c r="G26" s="8" t="inlineStr">
        <is>
          <t>高</t>
        </is>
      </c>
      <c r="H26" s="7" t="inlineStr">
        <is>
          <t>中</t>
        </is>
      </c>
      <c r="I26" s="3" t="inlineStr">
        <is>
          <t>対応しない</t>
        </is>
      </c>
      <c r="J26" s="9" t="inlineStr">
        <is>
          <t>会社が導入する想定なので、問題ない想定</t>
        </is>
      </c>
    </row>
    <row r="27" ht="33.75" customHeight="1">
      <c r="A27" s="3" t="n">
        <v>26</v>
      </c>
      <c r="B27" s="15" t="inlineStr">
        <is>
          <t>プライバシー・心理的安全</t>
        </is>
      </c>
      <c r="C27" s="5" t="inlineStr">
        <is>
          <t>解析範囲のオプトイン</t>
        </is>
      </c>
      <c r="D27" s="6" t="inlineStr">
        <is>
          <t>どのチャンネル・DMを解析対象にするか本人が選ぶ。既定は公開チャンネルのみ</t>
        </is>
      </c>
      <c r="E27" s="7" t="inlineStr">
        <is>
          <t>基盤</t>
        </is>
      </c>
      <c r="F27" s="6" t="inlineStr">
        <is>
          <t>プライバシー最大の地雷への構え</t>
        </is>
      </c>
      <c r="G27" s="8" t="inlineStr">
        <is>
          <t>高</t>
        </is>
      </c>
      <c r="H27" s="7" t="inlineStr">
        <is>
          <t>中</t>
        </is>
      </c>
      <c r="I27" s="3" t="inlineStr">
        <is>
          <t>対応しない</t>
        </is>
      </c>
      <c r="J27" s="9" t="inlineStr">
        <is>
          <t>同上</t>
        </is>
      </c>
    </row>
    <row r="28" ht="33.75" customHeight="1">
      <c r="A28" s="3" t="n">
        <v>27</v>
      </c>
      <c r="B28" s="16" t="inlineStr">
        <is>
          <t>継続・習慣化</t>
        </is>
      </c>
      <c r="C28" s="5" t="inlineStr">
        <is>
          <t>週次ダイジェスト通知</t>
        </is>
      </c>
      <c r="D28" s="6" t="inlineStr">
        <is>
          <t>「今週は3通とどきました」を週1回だけ通知する（通知しすぎない）</t>
        </is>
      </c>
      <c r="E28" s="3" t="inlineStr">
        <is>
          <t>①</t>
        </is>
      </c>
      <c r="F28" s="6" t="inlineStr">
        <is>
          <t>想起のリズムを作る。頻度控えめが世界観に合う</t>
        </is>
      </c>
      <c r="G28" s="8" t="inlineStr">
        <is>
          <t>高</t>
        </is>
      </c>
      <c r="H28" s="7" t="inlineStr">
        <is>
          <t>低</t>
        </is>
      </c>
      <c r="I28" s="3" t="inlineStr">
        <is>
          <t>対応する</t>
        </is>
      </c>
      <c r="J28" s="9" t="inlineStr">
        <is>
          <t>メール通知は週1ならあり</t>
        </is>
      </c>
    </row>
    <row r="29" ht="33.75" customHeight="1">
      <c r="A29" s="3" t="n">
        <v>28</v>
      </c>
      <c r="B29" s="16" t="inlineStr">
        <is>
          <t>継続・習慣化</t>
        </is>
      </c>
      <c r="C29" s="5" t="inlineStr">
        <is>
          <t>ホーム画面ウィジェット</t>
        </is>
      </c>
      <c r="D29" s="6" t="inlineStr">
        <is>
          <t>スマホのホーム画面に累計数と最新の一言を表示する</t>
        </is>
      </c>
      <c r="E29" s="3" t="inlineStr">
        <is>
          <t>①</t>
        </is>
      </c>
      <c r="F29" s="6" t="inlineStr">
        <is>
          <t>日常の視界に入り続ける</t>
        </is>
      </c>
      <c r="G29" s="11" t="inlineStr">
        <is>
          <t>低</t>
        </is>
      </c>
      <c r="H29" s="7" t="inlineStr">
        <is>
          <t>中</t>
        </is>
      </c>
      <c r="I29" s="3" t="inlineStr">
        <is>
          <t>対応しない</t>
        </is>
      </c>
      <c r="J29" s="9" t="n"/>
    </row>
    <row r="30" ht="33.75" customHeight="1">
      <c r="A30" s="3" t="n">
        <v>29</v>
      </c>
      <c r="B30" s="16" t="inlineStr">
        <is>
          <t>継続・習慣化</t>
        </is>
      </c>
      <c r="C30" s="5" t="inlineStr">
        <is>
          <t>言葉で届く通知</t>
        </is>
      </c>
      <c r="D30" s="6" t="inlineStr">
        <is>
          <t>「上司さんから、あたたかい言葉がとどいています」のように数値でなく言葉で通知する</t>
        </is>
      </c>
      <c r="E30" s="3" t="inlineStr">
        <is>
          <t>①</t>
        </is>
      </c>
      <c r="F30" s="6" t="inlineStr">
        <is>
          <t>世界観を通知にまで浸透させる</t>
        </is>
      </c>
      <c r="G30" s="10" t="inlineStr">
        <is>
          <t>中</t>
        </is>
      </c>
      <c r="H30" s="7" t="inlineStr">
        <is>
          <t>低</t>
        </is>
      </c>
      <c r="I30" s="3" t="inlineStr">
        <is>
          <t>対応する</t>
        </is>
      </c>
      <c r="J30" s="9" t="inlineStr">
        <is>
          <t>通知の文言としてはあり</t>
        </is>
      </c>
    </row>
    <row r="31" ht="33.75" customHeight="1">
      <c r="A31" s="3" t="n">
        <v>30</v>
      </c>
      <c r="B31" s="17" t="inlineStr">
        <is>
          <t>ビジネス・提供形態</t>
        </is>
      </c>
      <c r="C31" s="5" t="inlineStr">
        <is>
          <t>個人課金と企業導入の二段構え</t>
        </is>
      </c>
      <c r="D31" s="9" t="inlineStr">
        <is>
          <t>BtoC（個人の缶）を核に、企業にはチーム導入プランを用意する</t>
        </is>
      </c>
      <c r="E31" s="7" t="inlineStr">
        <is>
          <t>ビジネス</t>
        </is>
      </c>
      <c r="F31" s="6" t="inlineStr">
        <is>
          <t>収益性と「個人のためのサービス」の両立方針</t>
        </is>
      </c>
      <c r="G31" s="8" t="inlineStr">
        <is>
          <t>高</t>
        </is>
      </c>
      <c r="H31" s="3" t="inlineStr">
        <is>
          <t>―</t>
        </is>
      </c>
      <c r="I31" s="3" t="inlineStr">
        <is>
          <t>対応する</t>
        </is>
      </c>
      <c r="J31" s="9" t="n"/>
    </row>
    <row r="32" ht="33.75" customHeight="1">
      <c r="A32" s="3" t="n">
        <v>31</v>
      </c>
      <c r="B32" s="17" t="inlineStr">
        <is>
          <t>ビジネス・提供形態</t>
        </is>
      </c>
      <c r="C32" s="5" t="inlineStr">
        <is>
          <t>無料枠の設計</t>
        </is>
      </c>
      <c r="D32" s="6" t="inlineStr">
        <is>
          <t>直近30日分は無料、全期間の振り返り・カタチ分析は有料などの線引き</t>
        </is>
      </c>
      <c r="E32" s="7" t="inlineStr">
        <is>
          <t>ビジネス</t>
        </is>
      </c>
      <c r="F32" s="6" t="inlineStr">
        <is>
          <t>ユーザー獲得と収益の設計</t>
        </is>
      </c>
      <c r="G32" s="10" t="inlineStr">
        <is>
          <t>中</t>
        </is>
      </c>
      <c r="H32" s="3" t="inlineStr">
        <is>
          <t>―</t>
        </is>
      </c>
      <c r="I32" s="3" t="inlineStr">
        <is>
          <t>対応しない</t>
        </is>
      </c>
      <c r="J32" s="9" t="inlineStr">
        <is>
          <t>一旦は誰でも使えるように</t>
        </is>
      </c>
    </row>
    <row r="33" ht="33.75" customHeight="1">
      <c r="A33" s="3" t="n">
        <v>32</v>
      </c>
      <c r="B33" s="17" t="inlineStr">
        <is>
          <t>ビジネス・提供形態</t>
        </is>
      </c>
      <c r="C33" s="5" t="inlineStr">
        <is>
          <t>企業には集計値のみ提供</t>
        </is>
      </c>
      <c r="D33" s="6" t="inlineStr">
        <is>
          <t>企業向けレポートは匿名の全体傾向のみ。個人の缶の中身は渡さない</t>
        </is>
      </c>
      <c r="E33" s="7" t="inlineStr">
        <is>
          <t>ビジネス／基盤</t>
        </is>
      </c>
      <c r="F33" s="6" t="inlineStr">
        <is>
          <t>収益化しても信頼を裏切らない一線</t>
        </is>
      </c>
      <c r="G33" s="8" t="inlineStr">
        <is>
          <t>高</t>
        </is>
      </c>
      <c r="H33" s="3" t="inlineStr">
        <is>
          <t>―</t>
        </is>
      </c>
      <c r="I33" s="3" t="inlineStr">
        <is>
          <t>対応しない</t>
        </is>
      </c>
      <c r="J33" s="9" t="inlineStr">
        <is>
          <t>企業は個々人のありがとうアルバムを見れる。</t>
        </is>
      </c>
    </row>
    <row r="34" ht="33.75" customHeight="1">
      <c r="A34" s="3" t="n">
        <v>33</v>
      </c>
      <c r="B34" s="18" t="inlineStr">
        <is>
          <t>将来拡張</t>
        </is>
      </c>
      <c r="C34" s="19" t="inlineStr">
        <is>
          <t>AI対話履歴からの称賛取り込み</t>
        </is>
      </c>
      <c r="D34" s="9" t="inlineStr">
        <is>
          <t>ChatGPT等との対話履歴から、実績・称賛に相当する記録を取り込む</t>
        </is>
      </c>
      <c r="E34" s="3" t="inlineStr">
        <is>
          <t>②</t>
        </is>
      </c>
      <c r="F34" s="9" t="inlineStr">
        <is>
          <t>AIと働く時代への拡張（キセキ構想との接続）</t>
        </is>
      </c>
      <c r="G34" s="11" t="inlineStr">
        <is>
          <t>低</t>
        </is>
      </c>
      <c r="H34" s="7" t="inlineStr">
        <is>
          <t>高</t>
        </is>
      </c>
      <c r="I34" s="3" t="inlineStr">
        <is>
          <t>対応しない</t>
        </is>
      </c>
      <c r="J34" s="9" t="n"/>
    </row>
    <row r="35" ht="33.75" customHeight="1">
      <c r="A35" s="3" t="n">
        <v>34</v>
      </c>
      <c r="B35" s="18" t="inlineStr">
        <is>
          <t>将来拡張</t>
        </is>
      </c>
      <c r="C35" s="5" t="inlineStr">
        <is>
          <t>多言語対応</t>
        </is>
      </c>
      <c r="D35" s="6" t="inlineStr">
        <is>
          <t>感謝表現の多言語検出に対応する</t>
        </is>
      </c>
      <c r="E35" s="7" t="inlineStr">
        <is>
          <t>ビジネス</t>
        </is>
      </c>
      <c r="F35" s="6" t="inlineStr">
        <is>
          <t>海外展開の布石</t>
        </is>
      </c>
      <c r="G35" s="11" t="inlineStr">
        <is>
          <t>低</t>
        </is>
      </c>
      <c r="H35" s="7" t="inlineStr">
        <is>
          <t>高</t>
        </is>
      </c>
      <c r="I35" s="3" t="inlineStr">
        <is>
          <t>対応しない</t>
        </is>
      </c>
      <c r="J35" s="9" t="n"/>
    </row>
  </sheetData>
  <autoFilter ref="A1:J35"/>
  <dataValidations count="1">
    <dataValidation sqref="I2:I35" showDropDown="0" showInputMessage="0" showErrorMessage="0" allowBlank="1" error="リストから選択してください" type="list">
      <formula1>"対応する,対応しない,保留"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Normal="100" workbookViewId="0">
      <selection activeCell="A1" sqref="A1"/>
    </sheetView>
  </sheetViews>
  <sheetFormatPr baseColWidth="10" defaultColWidth="8.6640625" defaultRowHeight="15"/>
  <cols>
    <col width="26" customWidth="1" min="1" max="1"/>
    <col width="10" customWidth="1" min="2" max="2"/>
  </cols>
  <sheetData>
    <row r="1">
      <c r="A1" s="20" t="inlineStr">
        <is>
          <t>判断状況</t>
        </is>
      </c>
    </row>
    <row r="2">
      <c r="A2" s="21" t="inlineStr">
        <is>
          <t>対応する</t>
        </is>
      </c>
      <c r="B2" s="21">
        <f>COUNTIF(対応表!I:I,"対応する")</f>
        <v/>
      </c>
    </row>
    <row r="3">
      <c r="A3" s="21" t="inlineStr">
        <is>
          <t>対応しない</t>
        </is>
      </c>
      <c r="B3" s="21">
        <f>COUNTIF(対応表!I:I,"対応しない")</f>
        <v/>
      </c>
    </row>
    <row r="4">
      <c r="A4" s="21" t="inlineStr">
        <is>
          <t>保留</t>
        </is>
      </c>
      <c r="B4" s="21">
        <f>COUNTIF(対応表!I:I,"保留")</f>
        <v/>
      </c>
    </row>
    <row r="5">
      <c r="A5" s="21" t="inlineStr">
        <is>
          <t>未判断</t>
        </is>
      </c>
      <c r="B5" s="21">
        <f>COUNTA(対応表!A2:A35)-SUM(B2:B4)</f>
        <v/>
      </c>
    </row>
    <row r="7">
      <c r="A7" s="20" t="inlineStr">
        <is>
          <t>カテゴリ別の提案数</t>
        </is>
      </c>
    </row>
    <row r="8">
      <c r="A8" s="21" t="inlineStr">
        <is>
          <t>取り込み・検出精度</t>
        </is>
      </c>
      <c r="B8" s="21">
        <f>COUNTIF(対応表!B:B,"取り込み・検出精度")</f>
        <v/>
      </c>
    </row>
    <row r="9">
      <c r="A9" s="21" t="inlineStr">
        <is>
          <t>自己肯定感の体験</t>
        </is>
      </c>
      <c r="B9" s="21">
        <f>COUNTIF(対応表!B:B,"自己肯定感の体験")</f>
        <v/>
      </c>
    </row>
    <row r="10">
      <c r="A10" s="21" t="inlineStr">
        <is>
          <t>得意の発見</t>
        </is>
      </c>
      <c r="B10" s="21">
        <f>COUNTIF(対応表!B:B,"得意の発見")</f>
        <v/>
      </c>
    </row>
    <row r="11">
      <c r="A11" s="21" t="inlineStr">
        <is>
          <t>感謝の連鎖</t>
        </is>
      </c>
      <c r="B11" s="21">
        <f>COUNTIF(対応表!B:B,"感謝の連鎖")</f>
        <v/>
      </c>
    </row>
    <row r="12">
      <c r="A12" s="21" t="inlineStr">
        <is>
          <t>プライバシー・心理的安全</t>
        </is>
      </c>
      <c r="B12" s="21">
        <f>COUNTIF(対応表!B:B,"プライバシー・心理的安全")</f>
        <v/>
      </c>
    </row>
    <row r="13">
      <c r="A13" s="21" t="inlineStr">
        <is>
          <t>継続・習慣化</t>
        </is>
      </c>
      <c r="B13" s="21">
        <f>COUNTIF(対応表!B:B,"継続・習慣化")</f>
        <v/>
      </c>
    </row>
    <row r="14">
      <c r="A14" s="21" t="inlineStr">
        <is>
          <t>ビジネス・提供形態</t>
        </is>
      </c>
      <c r="B14" s="21">
        <f>COUNTIF(対応表!B:B,"ビジネス・提供形態")</f>
        <v/>
      </c>
    </row>
    <row r="15">
      <c r="A15" s="21" t="inlineStr">
        <is>
          <t>将来拡張</t>
        </is>
      </c>
      <c r="B15" s="21">
        <f>COUNTIF(対応表!B:B,"将来拡張")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zoomScale="144" workbookViewId="0">
      <pane ySplit="1" topLeftCell="A2" activePane="bottomLeft" state="frozen"/>
      <selection pane="bottomLeft" activeCell="H16" sqref="H16"/>
    </sheetView>
  </sheetViews>
  <sheetFormatPr baseColWidth="10" defaultColWidth="8.83203125" defaultRowHeight="15"/>
  <cols>
    <col width="5" customWidth="1" min="1" max="1"/>
    <col width="15" customWidth="1" min="2" max="2"/>
    <col width="26" customWidth="1" min="3" max="3"/>
    <col width="36" customWidth="1" min="4" max="4"/>
    <col width="48" customWidth="1" min="5" max="5"/>
    <col width="10" customWidth="1" min="6" max="6"/>
    <col width="12" customWidth="1" min="7" max="7"/>
    <col width="22" customWidth="1" min="8" max="8"/>
  </cols>
  <sheetData>
    <row r="1" ht="24" customHeight="1">
      <c r="A1" s="22" t="inlineStr">
        <is>
          <t>No</t>
        </is>
      </c>
      <c r="B1" s="22" t="inlineStr">
        <is>
          <t>ステークホルダー</t>
        </is>
      </c>
      <c r="C1" s="22" t="inlineStr">
        <is>
          <t>やりたいこと</t>
        </is>
      </c>
      <c r="D1" s="22" t="inlineStr">
        <is>
          <t>見たい情報</t>
        </is>
      </c>
      <c r="E1" s="22" t="inlineStr">
        <is>
          <t>画面イメージ（どんな画面で見えるか）</t>
        </is>
      </c>
      <c r="F1" s="22" t="inlineStr">
        <is>
          <t>優先度(案)</t>
        </is>
      </c>
      <c r="G1" s="22" t="inlineStr">
        <is>
          <t>対応判断</t>
        </is>
      </c>
      <c r="H1" s="22" t="inlineStr">
        <is>
          <t>メモ</t>
        </is>
      </c>
    </row>
    <row r="2" ht="48" customHeight="1">
      <c r="A2" s="23" t="n">
        <v>1</v>
      </c>
      <c r="B2" s="24" t="inlineStr">
        <is>
          <t>上司</t>
        </is>
      </c>
      <c r="C2" s="25" t="inlineStr">
        <is>
          <t>メンバーの見えない貢献を把握したい</t>
        </is>
      </c>
      <c r="D2" s="26" t="inlineStr">
        <is>
          <t>メンバーごとの感謝の受信状況とその内容（リモートで見えない「誰が何で頼られているか」）</t>
        </is>
      </c>
      <c r="E2" s="26" t="inlineStr">
        <is>
          <t>メンバー一覧ダッシュボード：メンバーカードに今月の感謝数＋ミニカタチ（レーダー）＋最新の一言</t>
        </is>
      </c>
      <c r="F2" s="27" t="inlineStr">
        <is>
          <t>高</t>
        </is>
      </c>
      <c r="G2" s="23" t="inlineStr">
        <is>
          <t>対応する</t>
        </is>
      </c>
      <c r="H2" s="26" t="n"/>
    </row>
    <row r="3" ht="34" customHeight="1">
      <c r="A3" s="23" t="n">
        <v>2</v>
      </c>
      <c r="B3" s="24" t="inlineStr">
        <is>
          <t>上司</t>
        </is>
      </c>
      <c r="C3" s="25" t="inlineStr">
        <is>
          <t>メンバーのアルバムを見たい</t>
        </is>
      </c>
      <c r="D3" s="26" t="inlineStr">
        <is>
          <t>個々人のありがとうアルバム（言葉と経緯）</t>
        </is>
      </c>
      <c r="E3" s="26" t="inlineStr">
        <is>
          <t>メンバー詳細画面：本人が見ているものと同じアルバムビューを閲覧できる</t>
        </is>
      </c>
      <c r="F3" s="27" t="inlineStr">
        <is>
          <t>高</t>
        </is>
      </c>
      <c r="G3" s="23" t="inlineStr">
        <is>
          <t>対応する</t>
        </is>
      </c>
      <c r="H3" s="26" t="n"/>
    </row>
    <row r="4" ht="34" customHeight="1">
      <c r="A4" s="23" t="n">
        <v>3</v>
      </c>
      <c r="B4" s="24" t="inlineStr">
        <is>
          <t>上司</t>
        </is>
      </c>
      <c r="C4" s="25" t="inlineStr">
        <is>
          <t>1on1の準備をしたい</t>
        </is>
      </c>
      <c r="D4" s="26" t="inlineStr">
        <is>
          <t>前回1on1以降に届いた感謝と傾向の変化</t>
        </is>
      </c>
      <c r="E4" s="26" t="inlineStr">
        <is>
          <t>1on1準備ビュー：期間指定のサマリー＋「この話を聞いてみては」の話題候補</t>
        </is>
      </c>
      <c r="F4" s="27" t="inlineStr">
        <is>
          <t>高</t>
        </is>
      </c>
      <c r="G4" s="23" t="inlineStr">
        <is>
          <t>対応しない</t>
        </is>
      </c>
      <c r="H4" s="32" t="n"/>
    </row>
    <row r="5" ht="34" customHeight="1">
      <c r="A5" s="23" t="n">
        <v>4</v>
      </c>
      <c r="B5" s="24" t="inlineStr">
        <is>
          <t>上司</t>
        </is>
      </c>
      <c r="C5" s="25" t="inlineStr">
        <is>
          <t>評価の根拠を集めたい</t>
        </is>
      </c>
      <c r="D5" s="26" t="inlineStr">
        <is>
          <t>評価期間中の感謝実績とSTAR形式のエピソード</t>
        </is>
      </c>
      <c r="E5" s="26" t="inlineStr">
        <is>
          <t>期間レポート：評価面談用に定性エピソードを整理して出力（PDF/CSV）</t>
        </is>
      </c>
      <c r="F5" s="27" t="inlineStr">
        <is>
          <t>高</t>
        </is>
      </c>
      <c r="G5" s="23" t="inlineStr">
        <is>
          <t>対応する</t>
        </is>
      </c>
      <c r="H5" s="32" t="inlineStr">
        <is>
          <t>その人の一定期間におけるGoodjobを定量的にまとめたペラ一のレポートを作成する（1月単位とか？）ことで、1on1にも対応できるのでは</t>
        </is>
      </c>
    </row>
    <row r="6" ht="34" customHeight="1">
      <c r="A6" s="23" t="n">
        <v>5</v>
      </c>
      <c r="B6" s="24" t="inlineStr">
        <is>
          <t>上司</t>
        </is>
      </c>
      <c r="C6" s="25" t="inlineStr">
        <is>
          <t>褒める材料をタイムリーに得たい</t>
        </is>
      </c>
      <c r="D6" s="26" t="inlineStr">
        <is>
          <t>チーム内で今週生まれた感謝のハイライト</t>
        </is>
      </c>
      <c r="E6" s="26" t="inlineStr">
        <is>
          <t>上司向け週次ダイジェスト：見逃していた良い行動を週1で知らせる</t>
        </is>
      </c>
      <c r="F6" s="28" t="inlineStr">
        <is>
          <t>中</t>
        </is>
      </c>
      <c r="G6" s="23" t="inlineStr">
        <is>
          <t>対応しない</t>
        </is>
      </c>
      <c r="H6" s="26" t="n"/>
    </row>
    <row r="7" ht="34" customHeight="1">
      <c r="A7" s="23" t="n">
        <v>6</v>
      </c>
      <c r="B7" s="24" t="inlineStr">
        <is>
          <t>上司</t>
        </is>
      </c>
      <c r="C7" s="25" t="inlineStr">
        <is>
          <t>メンバーの得意に合わせて仕事を振りたい</t>
        </is>
      </c>
      <c r="D7" s="26" t="inlineStr">
        <is>
          <t>メンバーの得意（カタチ）の比較</t>
        </is>
      </c>
      <c r="E7" s="26" t="inlineStr">
        <is>
          <t>チーム得意マップ：メンバー全員のレーダーを並べて見られる</t>
        </is>
      </c>
      <c r="F7" s="28" t="inlineStr">
        <is>
          <t>中</t>
        </is>
      </c>
      <c r="G7" s="23" t="inlineStr">
        <is>
          <t>対応する</t>
        </is>
      </c>
      <c r="H7" s="32" t="inlineStr">
        <is>
          <t>メンバー詳細画面で分かればいいんじゃないかな</t>
        </is>
      </c>
    </row>
    <row r="8" ht="34" customHeight="1">
      <c r="A8" s="23" t="n">
        <v>7</v>
      </c>
      <c r="B8" s="24" t="inlineStr">
        <is>
          <t>上司</t>
        </is>
      </c>
      <c r="C8" s="25" t="inlineStr">
        <is>
          <t>チームの助け合いの構造を知りたい</t>
        </is>
      </c>
      <c r="D8" s="26" t="inlineStr">
        <is>
          <t>誰から誰へ感謝が流れているか</t>
        </is>
      </c>
      <c r="E8" s="26" t="inlineStr">
        <is>
          <t>チーム相関図：感謝の流れのネットワークグラフ。矢印の太さ＝回数</t>
        </is>
      </c>
      <c r="F8" s="28" t="inlineStr">
        <is>
          <t>中</t>
        </is>
      </c>
      <c r="G8" s="33" t="inlineStr">
        <is>
          <t>対応しない</t>
        </is>
      </c>
      <c r="H8" s="26" t="n"/>
    </row>
    <row r="9" ht="48" customHeight="1">
      <c r="A9" s="23" t="n">
        <v>8</v>
      </c>
      <c r="B9" s="24" t="inlineStr">
        <is>
          <t>上司</t>
        </is>
      </c>
      <c r="C9" s="25" t="inlineStr">
        <is>
          <t>孤立・不調の兆候に気づきたい</t>
        </is>
      </c>
      <c r="D9" s="26" t="inlineStr">
        <is>
          <t>感謝の受信・送信が減っているメンバー</t>
        </is>
      </c>
      <c r="E9" s="26" t="inlineStr">
        <is>
          <t>変化アラート：前月比で大きく減った場合に上司にだけ通知（本人に見えない通知になるため運用は要検討）</t>
        </is>
      </c>
      <c r="F9" s="28" t="inlineStr">
        <is>
          <t>中</t>
        </is>
      </c>
      <c r="G9" s="23" t="inlineStr">
        <is>
          <t>対応する</t>
        </is>
      </c>
      <c r="H9" s="32" t="inlineStr">
        <is>
          <t>メンバー詳細画面で対応することになる。1on1用の月次レポートにアラートとして出す形でいいと思われる。</t>
        </is>
      </c>
    </row>
    <row r="10" ht="34" customHeight="1">
      <c r="A10" s="23" t="n">
        <v>9</v>
      </c>
      <c r="B10" s="24" t="inlineStr">
        <is>
          <t>上司</t>
        </is>
      </c>
      <c r="C10" s="25" t="inlineStr">
        <is>
          <t>異動直後にチームを早く把握したい</t>
        </is>
      </c>
      <c r="D10" s="26" t="inlineStr">
        <is>
          <t>メンバー全員の得意と頼られどころ</t>
        </is>
      </c>
      <c r="E10" s="26" t="inlineStr">
        <is>
          <t>チーム得意マップ＋メンバー紹介カード（新任上司のオンボーディング用途）</t>
        </is>
      </c>
      <c r="F10" s="29" t="inlineStr">
        <is>
          <t>低</t>
        </is>
      </c>
      <c r="G10" s="23" t="inlineStr">
        <is>
          <t>対応しない</t>
        </is>
      </c>
      <c r="H10" s="26" t="n"/>
    </row>
    <row r="11" ht="34" customHeight="1">
      <c r="A11" s="23" t="n">
        <v>10</v>
      </c>
      <c r="B11" s="24" t="inlineStr">
        <is>
          <t>上司</t>
        </is>
      </c>
      <c r="C11" s="25" t="inlineStr">
        <is>
          <t>朝会や表彰で紹介する材料がほしい</t>
        </is>
      </c>
      <c r="D11" s="26" t="inlineStr">
        <is>
          <t>今月の印象的な感謝ハイライト</t>
        </is>
      </c>
      <c r="E11" s="26" t="inlineStr">
        <is>
          <t>月間ハイライト画面：そのまま会議で投影できるレイアウト</t>
        </is>
      </c>
      <c r="F11" s="29" t="inlineStr">
        <is>
          <t>低</t>
        </is>
      </c>
      <c r="G11" s="23" t="inlineStr">
        <is>
          <t>対応しない</t>
        </is>
      </c>
      <c r="H11" s="26" t="n"/>
    </row>
    <row r="12" ht="34" customHeight="1">
      <c r="A12" s="23" t="n">
        <v>11</v>
      </c>
      <c r="B12" s="30" t="inlineStr">
        <is>
          <t>人事・経営</t>
        </is>
      </c>
      <c r="C12" s="25" t="inlineStr">
        <is>
          <t>部署ごとの組織状態を把握したい</t>
        </is>
      </c>
      <c r="D12" s="26" t="inlineStr">
        <is>
          <t>部署別の感謝量・推移・カタチの傾向</t>
        </is>
      </c>
      <c r="E12" s="26" t="inlineStr">
        <is>
          <t>組織ダッシュボード：部署比較と時系列推移</t>
        </is>
      </c>
      <c r="F12" s="28" t="inlineStr">
        <is>
          <t>中</t>
        </is>
      </c>
      <c r="G12" s="23" t="inlineStr">
        <is>
          <t>対応しない</t>
        </is>
      </c>
      <c r="H12" s="32" t="inlineStr">
        <is>
          <t>後日対応かな</t>
        </is>
      </c>
    </row>
    <row r="13" ht="34" customHeight="1">
      <c r="A13" s="23" t="n">
        <v>12</v>
      </c>
      <c r="B13" s="30" t="inlineStr">
        <is>
          <t>人事・経営</t>
        </is>
      </c>
      <c r="C13" s="25" t="inlineStr">
        <is>
          <t>埋もれた人材を発見したい</t>
        </is>
      </c>
      <c r="D13" s="26" t="inlineStr">
        <is>
          <t>感謝を多く受けているが評価・等級で目立たない社員</t>
        </is>
      </c>
      <c r="E13" s="26" t="inlineStr">
        <is>
          <t>人材ハイライトレポート：抜擢・配置転換の参考情報</t>
        </is>
      </c>
      <c r="F13" s="29" t="inlineStr">
        <is>
          <t>低</t>
        </is>
      </c>
      <c r="G13" s="23" t="inlineStr">
        <is>
          <t>対応しない</t>
        </is>
      </c>
      <c r="H13" s="26" t="n"/>
    </row>
    <row r="14" ht="34" customHeight="1">
      <c r="A14" s="23" t="n">
        <v>13</v>
      </c>
      <c r="B14" s="30" t="inlineStr">
        <is>
          <t>人事・経営</t>
        </is>
      </c>
      <c r="C14" s="25" t="inlineStr">
        <is>
          <t>退職リスクの兆候を検知したい</t>
        </is>
      </c>
      <c r="D14" s="26" t="inlineStr">
        <is>
          <t>感謝の受発信の急減・孤立傾向</t>
        </is>
      </c>
      <c r="E14" s="26" t="inlineStr">
        <is>
          <t>変化レポート：部署単位→個人単位はプライバシーと表裏のため慎重に</t>
        </is>
      </c>
      <c r="F14" s="29" t="inlineStr">
        <is>
          <t>低</t>
        </is>
      </c>
      <c r="G14" s="23" t="inlineStr">
        <is>
          <t>対応しない</t>
        </is>
      </c>
      <c r="H14" s="26" t="n"/>
    </row>
    <row r="15" ht="34" customHeight="1">
      <c r="A15" s="23" t="n">
        <v>14</v>
      </c>
      <c r="B15" s="31" t="inlineStr">
        <is>
          <t>チームメンバー</t>
        </is>
      </c>
      <c r="C15" s="25" t="inlineStr">
        <is>
          <t>誰に何を頼ればいいか知りたい</t>
        </is>
      </c>
      <c r="D15" s="26" t="inlineStr">
        <is>
          <t>同僚の得意タグ・頼られどころ</t>
        </is>
      </c>
      <c r="E15" s="26" t="inlineStr">
        <is>
          <t>チーム得意マップ（メンバー版）：閲覧のみ。頼り先がすぐわかる</t>
        </is>
      </c>
      <c r="F15" s="28" t="inlineStr">
        <is>
          <t>中</t>
        </is>
      </c>
      <c r="G15" s="23" t="inlineStr">
        <is>
          <t>対応しない</t>
        </is>
      </c>
      <c r="H15" s="26" t="n"/>
    </row>
    <row r="16" ht="34" customHeight="1">
      <c r="A16" s="23" t="n">
        <v>15</v>
      </c>
      <c r="B16" s="31" t="inlineStr">
        <is>
          <t>チームメンバー</t>
        </is>
      </c>
      <c r="C16" s="25" t="inlineStr">
        <is>
          <t>新しく入った人が早く馴染みたい</t>
        </is>
      </c>
      <c r="D16" s="26" t="inlineStr">
        <is>
          <t>チームの誰に何を聞けばいいか</t>
        </is>
      </c>
      <c r="E16" s="26" t="inlineStr">
        <is>
          <t>ウェルカムビュー：新メンバー向けの「このチームの頼り先ガイド」</t>
        </is>
      </c>
      <c r="F16" s="29" t="inlineStr">
        <is>
          <t>低</t>
        </is>
      </c>
      <c r="G16" s="23" t="inlineStr">
        <is>
          <t>対応しない</t>
        </is>
      </c>
      <c r="H16" s="26" t="n"/>
    </row>
  </sheetData>
  <autoFilter ref="A1:H16"/>
  <dataValidations count="1">
    <dataValidation sqref="G2:G16" showDropDown="0" showInputMessage="0" showErrorMessage="0" allowBlank="1" type="list">
      <formula1>"対応する,対応しない,保留"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14" customWidth="1" min="4" max="4"/>
    <col width="12" customWidth="1" min="5" max="5"/>
    <col width="40" customWidth="1" min="6" max="6"/>
  </cols>
  <sheetData>
    <row r="1" ht="22" customHeight="1">
      <c r="A1" s="34" t="inlineStr">
        <is>
          <t>No</t>
        </is>
      </c>
      <c r="B1" s="34" t="inlineStr">
        <is>
          <t>種別</t>
        </is>
      </c>
      <c r="C1" s="34" t="inlineStr">
        <is>
          <t>内容</t>
        </is>
      </c>
      <c r="D1" s="34" t="inlineStr">
        <is>
          <t>状況</t>
        </is>
      </c>
      <c r="E1" s="34" t="inlineStr">
        <is>
          <t>対応判断</t>
        </is>
      </c>
      <c r="F1" s="34" t="inlineStr">
        <is>
          <t>備考</t>
        </is>
      </c>
    </row>
    <row r="2" ht="34" customHeight="1">
      <c r="A2" s="35" t="n">
        <v>1</v>
      </c>
      <c r="B2" s="36" t="inlineStr">
        <is>
          <t>FB対応</t>
        </is>
      </c>
      <c r="C2" s="37" t="inlineStr">
        <is>
          <t>メンバー詳細：もらった/おくったの時系列推移（折れ線グラフ）を追加</t>
        </is>
      </c>
      <c r="D2" s="38" t="inlineStr">
        <is>
          <t>対応済み</t>
        </is>
      </c>
      <c r="E2" s="35" t="inlineStr"/>
      <c r="F2" s="37" t="inlineStr">
        <is>
          <t>6か月分の2系列折れ線。7月は集計中表記</t>
        </is>
      </c>
    </row>
    <row r="3" ht="34" customHeight="1">
      <c r="A3" s="35" t="n">
        <v>2</v>
      </c>
      <c r="B3" s="36" t="inlineStr">
        <is>
          <t>FB対応</t>
        </is>
      </c>
      <c r="C3" s="37" t="inlineStr">
        <is>
          <t>メンバー詳細：過去の月次レポートを履歴から閲覧可能に</t>
        </is>
      </c>
      <c r="D3" s="38" t="inlineStr">
        <is>
          <t>対応済み</t>
        </is>
      </c>
      <c r="E3" s="35" t="inlineStr"/>
      <c r="F3" s="37" t="inlineStr">
        <is>
          <t>月別リストから開ける。デモはYUKIYAMA・高橋が2か月分</t>
        </is>
      </c>
    </row>
    <row r="4" ht="62" customHeight="1">
      <c r="A4" s="35" t="n">
        <v>3</v>
      </c>
      <c r="B4" s="36" t="inlineStr">
        <is>
          <t>FB対応</t>
        </is>
      </c>
      <c r="C4" s="37" t="inlineStr">
        <is>
          <t>設計原則の変更：上司ビュー＝本人が見ている画面そのまま＋上司限定パネル（＋α）</t>
        </is>
      </c>
      <c r="D4" s="38" t="inlineStr">
        <is>
          <t>対応済み</t>
        </is>
      </c>
      <c r="E4" s="35" t="inlineStr"/>
      <c r="F4" s="37" t="inlineStr">
        <is>
          <t>詳細画面を「上司メニュー（推移・レポート・アラート）」＋本人3タブ（アルバム/カタチ/おくった）の構成に刷新。上司限定部分には「本人には表示されません」ラベル</t>
        </is>
      </c>
    </row>
    <row r="5" ht="34" customHeight="1">
      <c r="A5" s="35" t="n">
        <v>4</v>
      </c>
      <c r="B5" s="36" t="inlineStr">
        <is>
          <t>FB対応</t>
        </is>
      </c>
      <c r="C5" s="37" t="inlineStr">
        <is>
          <t>メンバー一覧：もらった数とおくった数を両方表示</t>
        </is>
      </c>
      <c r="D5" s="38" t="inlineStr">
        <is>
          <t>対応済み</t>
        </is>
      </c>
      <c r="E5" s="35" t="inlineStr"/>
      <c r="F5" s="37" t="inlineStr"/>
    </row>
    <row r="6" ht="48" customHeight="1">
      <c r="A6" s="35" t="n">
        <v>5</v>
      </c>
      <c r="B6" s="36" t="inlineStr">
        <is>
          <t>FB対応</t>
        </is>
      </c>
      <c r="C6" s="37" t="inlineStr">
        <is>
          <t>全画面：五角形レーダーチャートを廃止</t>
        </is>
      </c>
      <c r="D6" s="38" t="inlineStr">
        <is>
          <t>対応済み</t>
        </is>
      </c>
      <c r="E6" s="35" t="inlineStr"/>
      <c r="F6" s="37" t="inlineStr">
        <is>
          <t>場面タグは固定5分類でなく自動生成・可変（例：YUKIYAMAは8タグ）とし、可変長の横バーで表現</t>
        </is>
      </c>
    </row>
    <row r="7" ht="34" customHeight="1">
      <c r="A7" s="35" t="n">
        <v>6</v>
      </c>
      <c r="B7" s="36" t="inlineStr">
        <is>
          <t>FB対応</t>
        </is>
      </c>
      <c r="C7" s="37" t="inlineStr">
        <is>
          <t>メンバー一覧：前月比を廃止し、月ごとの推移（折れ線スパークライン）を表示</t>
        </is>
      </c>
      <c r="D7" s="38" t="inlineStr">
        <is>
          <t>対応済み</t>
        </is>
      </c>
      <c r="E7" s="35" t="inlineStr"/>
      <c r="F7" s="37" t="inlineStr">
        <is>
          <t>受送信2系列のミニ折れ線</t>
        </is>
      </c>
    </row>
    <row r="8" ht="34" customHeight="1">
      <c r="A8" s="35" t="n">
        <v>7</v>
      </c>
      <c r="B8" s="36" t="inlineStr">
        <is>
          <t>FB対応</t>
        </is>
      </c>
      <c r="C8" s="37" t="inlineStr">
        <is>
          <t>メンバー一覧：カード形式からテーブル形式へ変更</t>
        </is>
      </c>
      <c r="D8" s="38" t="inlineStr">
        <is>
          <t>対応済み</t>
        </is>
      </c>
      <c r="E8" s="35" t="inlineStr"/>
      <c r="F8" s="37" t="inlineStr">
        <is>
          <t>行クリックで詳細へ。並びは名前順</t>
        </is>
      </c>
    </row>
    <row r="9" ht="90" customHeight="1">
      <c r="A9" s="35" t="n">
        <v>8</v>
      </c>
      <c r="B9" s="36" t="inlineStr">
        <is>
          <t>FB対応</t>
        </is>
      </c>
      <c r="C9" s="37" t="inlineStr">
        <is>
          <t>月次レポートを「1on1の準備メモ」として再設計（リサーチ実施）</t>
        </is>
      </c>
      <c r="D9" s="38" t="inlineStr">
        <is>
          <t>対応済み</t>
        </is>
      </c>
      <c r="E9" s="35" t="inlineStr"/>
      <c r="F9" s="37" t="inlineStr">
        <is>
          <t>構成＝①今月のようす②そのまま伝えられる称賛（引用＋事実＋伝え方例）③気にかけたいサイン④聞いてみたい問い⑤前回からの持ち越し。リサーチ根拠：1on1事前に必要なのは前回との継続性/コンディション変化/具体的称賛材料/対話を開く問い</t>
        </is>
      </c>
    </row>
    <row r="10" ht="34" customHeight="1">
      <c r="A10" s="35" t="n">
        <v>9</v>
      </c>
      <c r="B10" s="39" t="inlineStr">
        <is>
          <t>追加提案</t>
        </is>
      </c>
      <c r="C10" s="37" t="inlineStr">
        <is>
          <t>1on1メモ機能：レポート内に上司がメモを書き、翌月レポートの「持ち越し」欄に自動表示</t>
        </is>
      </c>
      <c r="D10" s="35" t="inlineStr">
        <is>
          <t>提案・判断待ち</t>
        </is>
      </c>
      <c r="E10" s="35" t="inlineStr"/>
      <c r="F10" s="37" t="inlineStr">
        <is>
          <t>継続性の担保。今回は欄とボタンのみデモ実装</t>
        </is>
      </c>
    </row>
    <row r="11" ht="34" customHeight="1">
      <c r="A11" s="35" t="n">
        <v>10</v>
      </c>
      <c r="B11" s="39" t="inlineStr">
        <is>
          <t>追加提案</t>
        </is>
      </c>
      <c r="C11" s="37" t="inlineStr">
        <is>
          <t>1on1前日にそのメンバーの準備メモを上司へ自動送付（カレンダー連携）</t>
        </is>
      </c>
      <c r="D11" s="35" t="inlineStr">
        <is>
          <t>提案・判断待ち</t>
        </is>
      </c>
      <c r="E11" s="35" t="inlineStr"/>
      <c r="F11" s="37" t="inlineStr">
        <is>
          <t>レポートを見る習慣を仕組み化する</t>
        </is>
      </c>
    </row>
    <row r="12" ht="34" customHeight="1">
      <c r="A12" s="35" t="n">
        <v>11</v>
      </c>
      <c r="B12" s="39" t="inlineStr">
        <is>
          <t>追加提案</t>
        </is>
      </c>
      <c r="C12" s="37" t="inlineStr">
        <is>
          <t>メンバー一覧の並び替えは名前順固定を既定とし、数値ソートは設けない</t>
        </is>
      </c>
      <c r="D12" s="35" t="inlineStr">
        <is>
          <t>提案・判断待ち</t>
        </is>
      </c>
      <c r="E12" s="35" t="inlineStr"/>
      <c r="F12" s="37" t="inlineStr">
        <is>
          <t>ランキング化の防止。ソースは要判断</t>
        </is>
      </c>
    </row>
    <row r="13" ht="34" customHeight="1">
      <c r="A13" s="35" t="n">
        <v>12</v>
      </c>
      <c r="B13" s="39" t="inlineStr">
        <is>
          <t>追加提案</t>
        </is>
      </c>
      <c r="C13" s="37" t="inlineStr">
        <is>
          <t>場面タグの運用設計：類似タグの自動統合・表記ゆれの正規化・タグ上限</t>
        </is>
      </c>
      <c r="D13" s="35" t="inlineStr">
        <is>
          <t>提案・判断待ち</t>
        </is>
      </c>
      <c r="E13" s="35" t="inlineStr"/>
      <c r="F13" s="37" t="inlineStr">
        <is>
          <t>タグ可変化に伴う品質管理</t>
        </is>
      </c>
    </row>
    <row r="14" ht="34" customHeight="1">
      <c r="A14" s="35" t="n">
        <v>13</v>
      </c>
      <c r="B14" s="39" t="inlineStr">
        <is>
          <t>追加提案</t>
        </is>
      </c>
      <c r="C14" s="37" t="inlineStr">
        <is>
          <t>アラートの解消フォロー：翌月レポートに「先月のアラートのその後」を自動記載</t>
        </is>
      </c>
      <c r="D14" s="35" t="inlineStr">
        <is>
          <t>提案・判断待ち</t>
        </is>
      </c>
      <c r="E14" s="35" t="inlineStr"/>
      <c r="F14" s="37" t="inlineStr">
        <is>
          <t>言いっぱなしのアラートにしない</t>
        </is>
      </c>
    </row>
    <row r="15" ht="34" customHeight="1">
      <c r="A15" s="35" t="n">
        <v>14</v>
      </c>
      <c r="B15" s="39" t="inlineStr">
        <is>
          <t>追加提案</t>
        </is>
      </c>
      <c r="C15" s="37" t="inlineStr">
        <is>
          <t>管理者向け：上司の閲覧・エクスポートの監査ログ画面</t>
        </is>
      </c>
      <c r="D15" s="35" t="inlineStr">
        <is>
          <t>提案・判断待ち</t>
        </is>
      </c>
      <c r="E15" s="35" t="inlineStr"/>
      <c r="F15" s="37" t="inlineStr">
        <is>
          <t>導入企業への説明材料になる</t>
        </is>
      </c>
    </row>
  </sheetData>
  <autoFilter ref="A1:F15"/>
  <dataValidations count="1">
    <dataValidation sqref="E2:E15" showDropDown="0" showInputMessage="0" showErrorMessage="0" allowBlank="1" type="list">
      <formula1>"対応する,対応しない,保留"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14" customWidth="1" min="4" max="4"/>
    <col width="12" customWidth="1" min="5" max="5"/>
    <col width="40" customWidth="1" min="6" max="6"/>
  </cols>
  <sheetData>
    <row r="1" ht="22" customHeight="1">
      <c r="A1" s="34" t="inlineStr">
        <is>
          <t>No</t>
        </is>
      </c>
      <c r="B1" s="34" t="inlineStr">
        <is>
          <t>種別</t>
        </is>
      </c>
      <c r="C1" s="34" t="inlineStr">
        <is>
          <t>内容</t>
        </is>
      </c>
      <c r="D1" s="34" t="inlineStr">
        <is>
          <t>状況</t>
        </is>
      </c>
      <c r="E1" s="34" t="inlineStr">
        <is>
          <t>対応判断</t>
        </is>
      </c>
      <c r="F1" s="34" t="inlineStr">
        <is>
          <t>備考</t>
        </is>
      </c>
    </row>
    <row r="2" ht="34" customHeight="1">
      <c r="A2" s="35" t="n">
        <v>1</v>
      </c>
      <c r="B2" s="36" t="inlineStr">
        <is>
          <t>FB対応</t>
        </is>
      </c>
      <c r="C2" s="37" t="inlineStr">
        <is>
          <t>開封の儀を廃止</t>
        </is>
      </c>
      <c r="D2" s="38" t="inlineStr">
        <is>
          <t>対応済み</t>
        </is>
      </c>
      <c r="E2" s="35" t="inlineStr"/>
      <c r="F2" s="37" t="inlineStr">
        <is>
          <t>要件定義・設計書からも削除（F08はカード削除に差し替え）</t>
        </is>
      </c>
    </row>
    <row r="3" ht="34" customHeight="1">
      <c r="A3" s="35" t="n">
        <v>2</v>
      </c>
      <c r="B3" s="36" t="inlineStr">
        <is>
          <t>FB対応</t>
        </is>
      </c>
      <c r="C3" s="37" t="inlineStr">
        <is>
          <t>推移チャートを株チャート風に刷新（期間タブ：1週間/1か月/1年/3年/5年、横スクロール、最大5年分）</t>
        </is>
      </c>
      <c r="D3" s="38" t="inlineStr">
        <is>
          <t>対応済み</t>
        </is>
      </c>
      <c r="E3" s="35" t="inlineStr"/>
      <c r="F3" s="37" t="inlineStr">
        <is>
          <t>TradingView参考の簡易版</t>
        </is>
      </c>
    </row>
    <row r="4" ht="34" customHeight="1">
      <c r="A4" s="35" t="n">
        <v>3</v>
      </c>
      <c r="B4" s="36" t="inlineStr">
        <is>
          <t>FB対応</t>
        </is>
      </c>
      <c r="C4" s="37" t="inlineStr">
        <is>
          <t>チャートのホバー表示（縦クロスヘア＋その時点のもらった/おくった数）。通常時は数値ラベル非表示</t>
        </is>
      </c>
      <c r="D4" s="38" t="inlineStr">
        <is>
          <t>対応済み</t>
        </is>
      </c>
      <c r="E4" s="35" t="inlineStr"/>
      <c r="F4" s="37" t="inlineStr"/>
    </row>
    <row r="5" ht="34" customHeight="1">
      <c r="A5" s="35" t="n">
        <v>4</v>
      </c>
      <c r="B5" s="36" t="inlineStr">
        <is>
          <t>FB対応</t>
        </is>
      </c>
      <c r="C5" s="37" t="inlineStr">
        <is>
          <t>よく感謝される場面：もっと見るでTOP10まで展開。各場面を押すとアルバムのタグ絞り込みへ遷移</t>
        </is>
      </c>
      <c r="D5" s="38" t="inlineStr">
        <is>
          <t>対応済み</t>
        </is>
      </c>
      <c r="E5" s="35" t="inlineStr"/>
      <c r="F5" s="37" t="inlineStr"/>
    </row>
    <row r="6" ht="34" customHeight="1">
      <c r="A6" s="35" t="n">
        <v>5</v>
      </c>
      <c r="B6" s="36" t="inlineStr">
        <is>
          <t>FB対応</t>
        </is>
      </c>
      <c r="C6" s="37" t="inlineStr">
        <is>
          <t>アルバムにタグ絞り込み機能を追加</t>
        </is>
      </c>
      <c r="D6" s="38" t="inlineStr">
        <is>
          <t>対応済み</t>
        </is>
      </c>
      <c r="E6" s="35" t="inlineStr"/>
      <c r="F6" s="37" t="inlineStr">
        <is>
          <t>絞り込み中は解除チップ表示</t>
        </is>
      </c>
    </row>
    <row r="7" ht="34" customHeight="1">
      <c r="A7" s="35" t="n">
        <v>6</v>
      </c>
      <c r="B7" s="36" t="inlineStr">
        <is>
          <t>FB対応</t>
        </is>
      </c>
      <c r="C7" s="37" t="inlineStr">
        <is>
          <t>経緯モーダルに「じぶんのメモ」追加（本人のみ閲覧。鍵アイコン＋ホバーで説明ポップ）</t>
        </is>
      </c>
      <c r="D7" s="38" t="inlineStr">
        <is>
          <t>対応済み</t>
        </is>
      </c>
      <c r="E7" s="35" t="inlineStr"/>
      <c r="F7" s="37" t="inlineStr">
        <is>
          <t>メモ付きカードには付箋の目印</t>
        </is>
      </c>
    </row>
    <row r="8" ht="34" customHeight="1">
      <c r="A8" s="35" t="n">
        <v>7</v>
      </c>
      <c r="B8" s="36" t="inlineStr">
        <is>
          <t>FB対応</t>
        </is>
      </c>
      <c r="C8" s="37" t="inlineStr">
        <is>
          <t>お気に入り登録＋お気に入り絞り込み</t>
        </is>
      </c>
      <c r="D8" s="38" t="inlineStr">
        <is>
          <t>対応済み</t>
        </is>
      </c>
      <c r="E8" s="35" t="inlineStr"/>
      <c r="F8" s="37" t="inlineStr">
        <is>
          <t>カード右上の星シール</t>
        </is>
      </c>
    </row>
    <row r="9" ht="34" customHeight="1">
      <c r="A9" s="35" t="n">
        <v>8</v>
      </c>
      <c r="B9" s="36" t="inlineStr">
        <is>
          <t>FB対応</t>
        </is>
      </c>
      <c r="C9" s="37" t="inlineStr">
        <is>
          <t>「これは感謝ではない」→「アルバムから削除」に変更。確認ダイアログ付き・復元不可</t>
        </is>
      </c>
      <c r="D9" s="38" t="inlineStr">
        <is>
          <t>対応済み</t>
        </is>
      </c>
      <c r="E9" s="35" t="inlineStr"/>
      <c r="F9" s="37" t="inlineStr"/>
    </row>
    <row r="10" ht="62" customHeight="1">
      <c r="A10" s="35" t="n">
        <v>9</v>
      </c>
      <c r="B10" s="36" t="inlineStr">
        <is>
          <t>FB対応</t>
        </is>
      </c>
      <c r="C10" s="37" t="inlineStr">
        <is>
          <t>紙テクスチャ背景＋アルバムらしい遊び心を追加</t>
        </is>
      </c>
      <c r="D10" s="38" t="inlineStr">
        <is>
          <t>対応済み</t>
        </is>
      </c>
      <c r="E10" s="35" t="inlineStr"/>
      <c r="F10" s="37" t="inlineStr">
        <is>
          <t>実装＝タグ連動マスキングテープ／お気に入り星シール／メモ付箋／日付スタンプ風／月ラベルのテープ装飾／紙グレイン＋ドット台紙</t>
        </is>
      </c>
    </row>
    <row r="11" ht="34" customHeight="1">
      <c r="A11" s="35" t="n">
        <v>10</v>
      </c>
      <c r="B11" s="36" t="inlineStr">
        <is>
          <t>FB対応</t>
        </is>
      </c>
      <c r="C11" s="37" t="inlineStr">
        <is>
          <t>スマホ対応（レスポンシブ）</t>
        </is>
      </c>
      <c r="D11" s="38" t="inlineStr">
        <is>
          <t>対応済み</t>
        </is>
      </c>
      <c r="E11" s="35" t="inlineStr"/>
      <c r="F11" s="37" t="inlineStr">
        <is>
          <t>ヘッダータブの折返し・テーブル横スクロール・モーダル/チャートの幅調整</t>
        </is>
      </c>
    </row>
    <row r="12" ht="34" customHeight="1">
      <c r="A12" s="35" t="n">
        <v>11</v>
      </c>
      <c r="B12" s="36" t="inlineStr">
        <is>
          <t>FB対応</t>
        </is>
      </c>
      <c r="C12" s="37" t="inlineStr">
        <is>
          <t>メンバー一覧：最新のありがとう列を削除</t>
        </is>
      </c>
      <c r="D12" s="38" t="inlineStr">
        <is>
          <t>対応済み</t>
        </is>
      </c>
      <c r="E12" s="35" t="inlineStr"/>
      <c r="F12" s="37" t="inlineStr"/>
    </row>
    <row r="13" ht="34" customHeight="1">
      <c r="A13" s="35" t="n">
        <v>12</v>
      </c>
      <c r="B13" s="36" t="inlineStr">
        <is>
          <t>FB対応</t>
        </is>
      </c>
      <c r="C13" s="37" t="inlineStr">
        <is>
          <t>メンバー一覧：期間指定（既定1か月、3か月・1年）で受送信数を再集計</t>
        </is>
      </c>
      <c r="D13" s="38" t="inlineStr">
        <is>
          <t>対応済み</t>
        </is>
      </c>
      <c r="E13" s="35" t="inlineStr"/>
      <c r="F13" s="37" t="inlineStr"/>
    </row>
    <row r="14" ht="34" customHeight="1">
      <c r="A14" s="35" t="n">
        <v>13</v>
      </c>
      <c r="B14" s="36" t="inlineStr">
        <is>
          <t>FB対応</t>
        </is>
      </c>
      <c r="C14" s="37" t="inlineStr">
        <is>
          <t>メンバー一覧：ソート（もらった/おくった列）・名前検索・要確認絞り込み</t>
        </is>
      </c>
      <c r="D14" s="38" t="inlineStr">
        <is>
          <t>対応済み</t>
        </is>
      </c>
      <c r="E14" s="35" t="inlineStr"/>
      <c r="F14" s="37" t="inlineStr"/>
    </row>
    <row r="15" ht="34" customHeight="1">
      <c r="A15" s="35" t="n">
        <v>14</v>
      </c>
      <c r="B15" s="36" t="inlineStr">
        <is>
          <t>FB対応</t>
        </is>
      </c>
      <c r="C15" s="37" t="inlineStr">
        <is>
          <t>メンバー詳細のカタチを本人画面と完全同一に（同一コンポーネント使用）</t>
        </is>
      </c>
      <c r="D15" s="38" t="inlineStr">
        <is>
          <t>対応済み</t>
        </is>
      </c>
      <c r="E15" s="35" t="inlineStr"/>
      <c r="F15" s="37" t="inlineStr">
        <is>
          <t>じぶんのメモのみ上司には非表示</t>
        </is>
      </c>
    </row>
    <row r="16" ht="34" customHeight="1">
      <c r="A16" s="35" t="n">
        <v>15</v>
      </c>
      <c r="B16" s="40" t="inlineStr">
        <is>
          <t>運用</t>
        </is>
      </c>
      <c r="C16" s="37" t="inlineStr">
        <is>
          <t>要件定義書・基本設計書・詳細設計書をv1.1に改版</t>
        </is>
      </c>
      <c r="D16" s="38" t="inlineStr">
        <is>
          <t>対応済み</t>
        </is>
      </c>
      <c r="E16" s="35" t="inlineStr"/>
      <c r="F16" s="37" t="inlineStr">
        <is>
          <t>以後、修正の都度アップデートする運用</t>
        </is>
      </c>
    </row>
    <row r="17" ht="34" customHeight="1">
      <c r="A17" s="35" t="n">
        <v>16</v>
      </c>
      <c r="B17" s="39" t="inlineStr">
        <is>
          <t>追加提案</t>
        </is>
      </c>
      <c r="C17" s="37" t="inlineStr">
        <is>
          <t>チャートに「はじめて感謝をもらった日」など節目マーカーを控えめに表示</t>
        </is>
      </c>
      <c r="D17" s="35" t="inlineStr">
        <is>
          <t>提案・判断待ち</t>
        </is>
      </c>
      <c r="E17" s="35" t="inlineStr"/>
      <c r="F17" s="37" t="inlineStr">
        <is>
          <t>株チャートのイベントマーカーの応用</t>
        </is>
      </c>
    </row>
    <row r="18" ht="34" customHeight="1">
      <c r="A18" s="35" t="n">
        <v>17</v>
      </c>
      <c r="B18" s="39" t="inlineStr">
        <is>
          <t>追加提案</t>
        </is>
      </c>
      <c r="C18" s="37" t="inlineStr">
        <is>
          <t>じぶんのメモを検索・一覧できる「メモ帳」ビュー</t>
        </is>
      </c>
      <c r="D18" s="35" t="inlineStr">
        <is>
          <t>提案・判断待ち</t>
        </is>
      </c>
      <c r="E18" s="35" t="inlineStr"/>
      <c r="F18" s="37" t="inlineStr">
        <is>
          <t>内省の資産化</t>
        </is>
      </c>
    </row>
    <row r="19" ht="34" customHeight="1">
      <c r="A19" s="35" t="n">
        <v>18</v>
      </c>
      <c r="B19" s="39" t="inlineStr">
        <is>
          <t>追加提案</t>
        </is>
      </c>
      <c r="C19" s="37" t="inlineStr">
        <is>
          <t>削除の代替に「アーカイブ（非表示だが復元可）」を用意するか要検討</t>
        </is>
      </c>
      <c r="D19" s="35" t="inlineStr">
        <is>
          <t>提案・判断待ち</t>
        </is>
      </c>
      <c r="E19" s="35" t="inlineStr"/>
      <c r="F19" s="37" t="inlineStr">
        <is>
          <t>復元不可の仕様は誤操作リスクあり。プロダクト判断</t>
        </is>
      </c>
    </row>
    <row r="20" ht="34" customHeight="1">
      <c r="A20" s="35" t="n">
        <v>19</v>
      </c>
      <c r="B20" s="39" t="inlineStr">
        <is>
          <t>追加提案</t>
        </is>
      </c>
      <c r="C20" s="37" t="inlineStr">
        <is>
          <t>タグ絞り込みとお気に入りのURLパラメータ化（共有・ブックマーク可能に）</t>
        </is>
      </c>
      <c r="D20" s="35" t="inlineStr">
        <is>
          <t>提案・判断待ち</t>
        </is>
      </c>
      <c r="E20" s="35" t="inlineStr"/>
      <c r="F20" s="37" t="inlineStr">
        <is>
          <t>実装時の設計事項</t>
        </is>
      </c>
    </row>
  </sheetData>
  <autoFilter ref="A1:F20"/>
  <dataValidations count="1">
    <dataValidation sqref="E2:E20" showDropDown="0" showInputMessage="0" showErrorMessage="0" allowBlank="1" type="list">
      <formula1>"対応する,対応しない,保留"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2026-07-04T08:51:51Z</dcterms:created>
  <dcterms:modified xmlns:dcterms="http://purl.org/dc/terms/" xmlns:xsi="http://www.w3.org/2001/XMLSchema-instance" xsi:type="dcterms:W3CDTF">2026-07-05T02:46:30Z</dcterms:modified>
  <cp:lastModifiedBy>裕希 山岡</cp:lastModifiedBy>
  <cp:revision>0</cp:revision>
</cp:coreProperties>
</file>